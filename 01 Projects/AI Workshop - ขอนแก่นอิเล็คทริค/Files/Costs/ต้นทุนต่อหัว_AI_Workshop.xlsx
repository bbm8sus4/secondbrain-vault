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ต้นทุนต่อหัว" sheetId="1" state="visible" r:id="rId3"/>
    <sheet name="Claude แชร์บัญชี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<sst xmlns="http://schemas.openxmlformats.org/spreadsheetml/2006/main" count="94" uniqueCount="81">
  <si>
    <t xml:space="preserve">เครื่องคิดต้นทุนต่อหัว &amp; ราคาคอร์สอบรม</t>
  </si>
  <si>
    <t xml:space="preserve">เฉพาะต้นทุนที่ยืนยันแล้ว · 15 ผู้เรียน · 1 วัน  |  อัปเดต 30 มิ.ย. 2026</t>
  </si>
  <si>
    <t xml:space="preserve">1) ค่าตั้งต้น — แก้ได้เฉพาะช่องสีเหลือง</t>
  </si>
  <si>
    <t xml:space="preserve">จำนวนผู้เรียน</t>
  </si>
  <si>
    <t xml:space="preserve">คน</t>
  </si>
  <si>
    <t xml:space="preserve">ค่าห้องประชุม (รวม VAT)</t>
  </si>
  <si>
    <t xml:space="preserve">บาท/งาน · คงที่</t>
  </si>
  <si>
    <t xml:space="preserve">ค่าวิทยากร ท่านที่ 1</t>
  </si>
  <si>
    <t xml:space="preserve">ยังไม่ระบุ — ใส่ทีหลัง</t>
  </si>
  <si>
    <t xml:space="preserve">ค่าวิทยากร ท่านที่ 2</t>
  </si>
  <si>
    <t xml:space="preserve">ค่าวิทยากร ท่านที่ 3</t>
  </si>
  <si>
    <t xml:space="preserve">ค่าเดินทาง/ที่พักวิทยากร</t>
  </si>
  <si>
    <t xml:space="preserve">บาท · คงที่</t>
  </si>
  <si>
    <t xml:space="preserve">เบรค + อาหาร</t>
  </si>
  <si>
    <t xml:space="preserve">บาท/หัว · ผันแปร</t>
  </si>
  <si>
    <t xml:space="preserve">ค่าเอกสาร / workbook</t>
  </si>
  <si>
    <t xml:space="preserve">ใบประกาศนียบัตร</t>
  </si>
  <si>
    <t xml:space="preserve">Contingency (เผื่อ)</t>
  </si>
  <si>
    <t xml:space="preserve">ปิดไว้ก่อน (0%)</t>
  </si>
  <si>
    <t xml:space="preserve">กำไรที่ต้องการ (Margin)</t>
  </si>
  <si>
    <t xml:space="preserve">% ของราคาขาย</t>
  </si>
  <si>
    <t xml:space="preserve">2) สรุปต้นทุน</t>
  </si>
  <si>
    <t xml:space="preserve">ต้นทุนคงที่รวม (ห้อง+วิทยากร+เดินทาง)</t>
  </si>
  <si>
    <t xml:space="preserve">บาท/ทั้งรุ่น</t>
  </si>
  <si>
    <t xml:space="preserve">ต้นทุนคงที่ ต่อหัว</t>
  </si>
  <si>
    <t xml:space="preserve">บาท/หัว</t>
  </si>
  <si>
    <t xml:space="preserve">ต้นทุนผันแปร ต่อหัว (อาหาร+เอกสาร+ใบประกาศ)</t>
  </si>
  <si>
    <t xml:space="preserve">รวมก่อน contingency</t>
  </si>
  <si>
    <t xml:space="preserve">Contingency ต่อหัว</t>
  </si>
  <si>
    <t xml:space="preserve">ต้นทุนรวม ต่อหัว</t>
  </si>
  <si>
    <t xml:space="preserve">บาท/หัว ◀ ต้นทุนจริง</t>
  </si>
  <si>
    <t xml:space="preserve">ต้นทุนรวม ทั้งรุ่น</t>
  </si>
  <si>
    <t xml:space="preserve">บาท</t>
  </si>
  <si>
    <t xml:space="preserve">3) ราคาขาย &amp; กำไร</t>
  </si>
  <si>
    <t xml:space="preserve">ราคาขาย ต่อหัว (ที่กำไรเป้าหมาย)</t>
  </si>
  <si>
    <t xml:space="preserve">บาท/หัว ◀ ราคาขาย</t>
  </si>
  <si>
    <t xml:space="preserve">กำไร ต่อหัว</t>
  </si>
  <si>
    <t xml:space="preserve">รายได้รวม ทั้งรุ่น</t>
  </si>
  <si>
    <t xml:space="preserve">กำไรรวม ทั้งรุ่น</t>
  </si>
  <si>
    <t xml:space="preserve">ราคาเท่าทุน (break-even/หัว)</t>
  </si>
  <si>
    <t xml:space="preserve">จุดคุ้มทุน — จำนวนคน ที่ราคาขายนี้</t>
  </si>
  <si>
    <t xml:space="preserve">คน (ปัดขึ้น)</t>
  </si>
  <si>
    <t xml:space="preserve">4) ตารางความไว — จำนวนคน ส่งผลต่อต้นทุน/ราคา</t>
  </si>
  <si>
    <t xml:space="preserve">จำนวนคน</t>
  </si>
  <si>
    <t xml:space="preserve">ต้นทุน/หัว</t>
  </si>
  <si>
    <t xml:space="preserve">ราคาขาย@กำไรเป้า</t>
  </si>
  <si>
    <t xml:space="preserve">กำไรรวมทั้งรุ่น</t>
  </si>
  <si>
    <t xml:space="preserve">หมายเหตุ:</t>
  </si>
  <si>
    <t xml:space="preserve">• เวอร์ชันนี้ = เฉพาะต้นทุนที่ยืนยันแล้ว: ค่าห้อง ฿3,745 + เบรค/อาหาร ฿290/หัว</t>
  </si>
  <si>
    <t xml:space="preserve">• ค่าวิทยากร 3 ท่าน, เอกสาร, ใบประกาศ, contingency = ตั้งเป็น 0 (รอข้อมูลจริง)</t>
  </si>
  <si>
    <t xml:space="preserve">• ค่า Claude Max ตัดออก (ผู้เรียนถือบัญชีเอง)</t>
  </si>
  <si>
    <t xml:space="preserve">• ราคาขายข้อ 3 คิดจากต้นทุนเท่าที่มี — จะสมจริงเมื่อใส่ค่าวิทยากรแล้ว</t>
  </si>
  <si>
    <t xml:space="preserve">• แก้ช่องสีเหลืองเพื่อเติมต้นทุน แล้วทุกอย่างคำนวณใหม่เอง</t>
  </si>
  <si>
    <t xml:space="preserve">เทียบการแชร์บัญชี Claude Max 5x (เงินบาท)</t>
  </si>
  <si>
    <t xml:space="preserve">15 ผู้เรียน · Max 5x = 5 เท่าของ Pro · อัปเดต 30 มิ.ย. 2026</t>
  </si>
  <si>
    <t xml:space="preserve">ค่าตั้งต้น (แก้ช่องเหลือง)</t>
  </si>
  <si>
    <t xml:space="preserve">ราคา Max 5x (ทางการ)</t>
  </si>
  <si>
    <t xml:space="preserve">$/เดือน/แอค</t>
  </si>
  <si>
    <t xml:space="preserve">อัตราแลกเปลี่ยน</t>
  </si>
  <si>
    <t xml:space="preserve">฿ ต่อ $ (30 มิ.ย. 2026)</t>
  </si>
  <si>
    <t xml:space="preserve">ค่าธรรมเนียมแปลงสกุล (บัตร)</t>
  </si>
  <si>
    <t xml:space="preserve">% โดยประมาณ</t>
  </si>
  <si>
    <t xml:space="preserve">ราคาจริง/แอค/เดือน</t>
  </si>
  <si>
    <t xml:space="preserve">บาท (รวมค่าธรรมเนียมบัตร)</t>
  </si>
  <si>
    <t xml:space="preserve">คน/แอค</t>
  </si>
  <si>
    <t xml:space="preserve">จำนวนแอค</t>
  </si>
  <si>
    <t xml:space="preserve">รวม ฿/เดือน</t>
  </si>
  <si>
    <t xml:space="preserve">ต่อหัว (฿)</t>
  </si>
  <si>
    <t xml:space="preserve">usage/คน</t>
  </si>
  <si>
    <t xml:space="preserve">ความเสี่ยง</t>
  </si>
  <si>
    <t xml:space="preserve">ต่ำ</t>
  </si>
  <si>
    <t xml:space="preserve">ปานกลาง</t>
  </si>
  <si>
    <t xml:space="preserve">ตึง</t>
  </si>
  <si>
    <t xml:space="preserve">สูง</t>
  </si>
  <si>
    <t xml:space="preserve">อ่านตาราง:</t>
  </si>
  <si>
    <t xml:space="preserve">• ราคาจริง: Max 5x = $100/เดือน/แอค (บิลเป็น USD) × ฿33.29 + ค่าธรรมเนียมบัตร 2.5%</t>
  </si>
  <si>
    <t xml:space="preserve">• usage/คน = 5 เท่าของ Pro หารจำนวนคนที่แชร์ — ยิ่งน้อยยิ่งตึง</t>
  </si>
  <si>
    <t xml:space="preserve">• 5 คน/แอค = แต่ละคนได้พอๆ Pro 1 บัญชี → ชนลิมิตง่ายตอน hands-on</t>
  </si>
  <si>
    <t xml:space="preserve">• 1 บัญชีมี usage cap แบบ rolling — คนแชร์มากเสี่ยงตันพร้อมกัน</t>
  </si>
  <si>
    <t xml:space="preserve">• ซื้อผ่านตัวแทนไทยอาจ +VAT 7% / อัตราแลกเปลี่ยนเปลี่ยนทุกวัน</t>
  </si>
  <si>
    <t xml:space="preserve">• แยกจากต้นทุนคอร์ส (ชีตแรก) — ผู้เรียนถือบัญชีเอง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</si>
</sst>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฿#,##0;&quot;(฿&quot;#,##0\);\-"/>
    <numFmt numFmtId="167" formatCode="0%"/>
    <numFmt numFmtId="168" formatCode="\$#,##0"/>
    <numFmt numFmtId="169" formatCode="\฿#,##0.00"/>
    <numFmt numFmtId="170" formatCode="0.0%"/>
    <numFmt numFmtId="171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sz val="10"/>
      <color rgb="FFFFFFFF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color rgb="FF000000"/>
      <name val="Tahoma"/>
      <family val="0"/>
      <charset val="1"/>
    </font>
    <font>
      <sz val="10"/>
      <color rgb="FF0000FF"/>
      <name val="Tahoma"/>
      <family val="0"/>
      <charset val="1"/>
    </font>
    <font>
      <sz val="9"/>
      <color rgb="FF595959"/>
      <name val="Tahoma"/>
      <family val="0"/>
      <charset val="1"/>
    </font>
    <font>
      <sz val="9"/>
      <color rgb="FFC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9"/>
      <color rgb="FF595959"/>
      <name val="Tahoma"/>
      <family val="0"/>
      <charset val="1"/>
    </font>
    <font>
      <b val="true"/>
      <sz val="14"/>
      <color rgb="FFFFFFFF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8B9E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C6E0B4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4A6A6"/>
        <bgColor rgb="FFF8CBA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4A6A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2E8B9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7"/>
    <col collapsed="false" customWidth="true" hidden="false" outlineLevel="0" max="3" min="3" style="1" width="24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4.2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n">
        <v>15</v>
      </c>
      <c r="C5" s="7" t="s">
        <v>4</v>
      </c>
      <c r="D5" s="5"/>
    </row>
    <row r="6" customFormat="false" ht="15" hidden="false" customHeight="true" outlineLevel="0" collapsed="false">
      <c r="A6" s="5" t="s">
        <v>5</v>
      </c>
      <c r="B6" s="8" t="n">
        <v>3745</v>
      </c>
      <c r="C6" s="7" t="s">
        <v>6</v>
      </c>
      <c r="D6" s="5"/>
    </row>
    <row r="7" customFormat="false" ht="15" hidden="false" customHeight="true" outlineLevel="0" collapsed="false">
      <c r="A7" s="5" t="s">
        <v>7</v>
      </c>
      <c r="B7" s="8" t="n">
        <v>0</v>
      </c>
      <c r="C7" s="9" t="s">
        <v>8</v>
      </c>
      <c r="D7" s="5"/>
    </row>
    <row r="8" customFormat="false" ht="15" hidden="false" customHeight="true" outlineLevel="0" collapsed="false">
      <c r="A8" s="5" t="s">
        <v>9</v>
      </c>
      <c r="B8" s="8" t="n">
        <v>0</v>
      </c>
      <c r="C8" s="9" t="s">
        <v>8</v>
      </c>
      <c r="D8" s="5"/>
    </row>
    <row r="9" customFormat="false" ht="15" hidden="false" customHeight="true" outlineLevel="0" collapsed="false">
      <c r="A9" s="5" t="s">
        <v>10</v>
      </c>
      <c r="B9" s="8" t="n">
        <v>0</v>
      </c>
      <c r="C9" s="9" t="s">
        <v>8</v>
      </c>
      <c r="D9" s="5"/>
    </row>
    <row r="10" customFormat="false" ht="15" hidden="false" customHeight="true" outlineLevel="0" collapsed="false">
      <c r="A10" s="5" t="s">
        <v>11</v>
      </c>
      <c r="B10" s="8" t="n">
        <v>0</v>
      </c>
      <c r="C10" s="7" t="s">
        <v>12</v>
      </c>
      <c r="D10" s="5"/>
    </row>
    <row r="11" customFormat="false" ht="15" hidden="false" customHeight="true" outlineLevel="0" collapsed="false">
      <c r="A11" s="5" t="s">
        <v>13</v>
      </c>
      <c r="B11" s="8" t="n">
        <v>290</v>
      </c>
      <c r="C11" s="7" t="s">
        <v>14</v>
      </c>
      <c r="D11" s="5"/>
    </row>
    <row r="12" customFormat="false" ht="15" hidden="false" customHeight="true" outlineLevel="0" collapsed="false">
      <c r="A12" s="5" t="s">
        <v>15</v>
      </c>
      <c r="B12" s="8" t="n">
        <v>0</v>
      </c>
      <c r="C12" s="9" t="s">
        <v>8</v>
      </c>
      <c r="D12" s="5"/>
    </row>
    <row r="13" customFormat="false" ht="15" hidden="false" customHeight="true" outlineLevel="0" collapsed="false">
      <c r="A13" s="5" t="s">
        <v>16</v>
      </c>
      <c r="B13" s="8" t="n">
        <v>0</v>
      </c>
      <c r="C13" s="9" t="s">
        <v>8</v>
      </c>
      <c r="D13" s="5"/>
    </row>
    <row r="14" customFormat="false" ht="15" hidden="false" customHeight="true" outlineLevel="0" collapsed="false">
      <c r="A14" s="5" t="s">
        <v>17</v>
      </c>
      <c r="B14" s="10" t="n">
        <v>0</v>
      </c>
      <c r="C14" s="9" t="s">
        <v>18</v>
      </c>
      <c r="D14" s="5"/>
    </row>
    <row r="15" customFormat="false" ht="15" hidden="false" customHeight="true" outlineLevel="0" collapsed="false">
      <c r="A15" s="5" t="s">
        <v>19</v>
      </c>
      <c r="B15" s="10" t="n">
        <v>0.4</v>
      </c>
      <c r="C15" s="7" t="s">
        <v>20</v>
      </c>
      <c r="D15" s="5"/>
    </row>
    <row r="17" customFormat="false" ht="15" hidden="false" customHeight="true" outlineLevel="0" collapsed="false">
      <c r="A17" s="11" t="s">
        <v>21</v>
      </c>
      <c r="B17" s="12"/>
      <c r="C17" s="12"/>
      <c r="D17" s="12"/>
    </row>
    <row r="18" customFormat="false" ht="15" hidden="false" customHeight="true" outlineLevel="0" collapsed="false">
      <c r="A18" s="5" t="s">
        <v>22</v>
      </c>
      <c r="B18" s="13" t="n">
        <f aca="false">B6+B7+B8+B9+B10</f>
        <v>3745</v>
      </c>
      <c r="C18" s="7" t="s">
        <v>23</v>
      </c>
      <c r="D18" s="5"/>
    </row>
    <row r="19" customFormat="false" ht="15" hidden="false" customHeight="true" outlineLevel="0" collapsed="false">
      <c r="A19" s="5" t="s">
        <v>24</v>
      </c>
      <c r="B19" s="13" t="n">
        <f aca="false">B18/B5</f>
        <v>249.666666666667</v>
      </c>
      <c r="C19" s="7" t="s">
        <v>25</v>
      </c>
      <c r="D19" s="5"/>
    </row>
    <row r="20" customFormat="false" ht="15" hidden="false" customHeight="true" outlineLevel="0" collapsed="false">
      <c r="A20" s="5" t="s">
        <v>26</v>
      </c>
      <c r="B20" s="13" t="n">
        <f aca="false">B11+B12+B13</f>
        <v>290</v>
      </c>
      <c r="C20" s="7" t="s">
        <v>25</v>
      </c>
      <c r="D20" s="5"/>
    </row>
    <row r="21" customFormat="false" ht="15" hidden="false" customHeight="true" outlineLevel="0" collapsed="false">
      <c r="A21" s="5" t="s">
        <v>27</v>
      </c>
      <c r="B21" s="13" t="n">
        <f aca="false">B19+B20</f>
        <v>539.666666666667</v>
      </c>
      <c r="C21" s="7" t="s">
        <v>25</v>
      </c>
      <c r="D21" s="5"/>
    </row>
    <row r="22" customFormat="false" ht="15" hidden="false" customHeight="true" outlineLevel="0" collapsed="false">
      <c r="A22" s="5" t="s">
        <v>28</v>
      </c>
      <c r="B22" s="13" t="n">
        <f aca="false">B21*B14</f>
        <v>0</v>
      </c>
      <c r="C22" s="7" t="s">
        <v>25</v>
      </c>
      <c r="D22" s="5"/>
    </row>
    <row r="23" customFormat="false" ht="15" hidden="false" customHeight="true" outlineLevel="0" collapsed="false">
      <c r="A23" s="14" t="s">
        <v>29</v>
      </c>
      <c r="B23" s="15" t="n">
        <f aca="false">B21*(1+B14)</f>
        <v>539.666666666667</v>
      </c>
      <c r="C23" s="16" t="s">
        <v>30</v>
      </c>
      <c r="D23" s="5"/>
    </row>
    <row r="24" customFormat="false" ht="15" hidden="false" customHeight="true" outlineLevel="0" collapsed="false">
      <c r="A24" s="5" t="s">
        <v>31</v>
      </c>
      <c r="B24" s="13" t="n">
        <f aca="false">B23*B5</f>
        <v>8095</v>
      </c>
      <c r="C24" s="7" t="s">
        <v>32</v>
      </c>
      <c r="D24" s="5"/>
    </row>
    <row r="26" customFormat="false" ht="15" hidden="false" customHeight="true" outlineLevel="0" collapsed="false">
      <c r="A26" s="11" t="s">
        <v>33</v>
      </c>
      <c r="B26" s="12"/>
      <c r="C26" s="12"/>
      <c r="D26" s="12"/>
    </row>
    <row r="27" customFormat="false" ht="15" hidden="false" customHeight="true" outlineLevel="0" collapsed="false">
      <c r="A27" s="14" t="s">
        <v>34</v>
      </c>
      <c r="B27" s="15" t="n">
        <f aca="false">B23/(1-B15)</f>
        <v>899.444444444445</v>
      </c>
      <c r="C27" s="16" t="s">
        <v>35</v>
      </c>
      <c r="D27" s="5"/>
    </row>
    <row r="28" customFormat="false" ht="15" hidden="false" customHeight="true" outlineLevel="0" collapsed="false">
      <c r="A28" s="5" t="s">
        <v>36</v>
      </c>
      <c r="B28" s="13" t="n">
        <f aca="false">B27-B23</f>
        <v>359.777777777778</v>
      </c>
      <c r="C28" s="7" t="s">
        <v>25</v>
      </c>
      <c r="D28" s="5"/>
    </row>
    <row r="29" customFormat="false" ht="15" hidden="false" customHeight="true" outlineLevel="0" collapsed="false">
      <c r="A29" s="5" t="s">
        <v>37</v>
      </c>
      <c r="B29" s="13" t="n">
        <f aca="false">B27*B5</f>
        <v>13491.6666666667</v>
      </c>
      <c r="C29" s="7" t="s">
        <v>32</v>
      </c>
      <c r="D29" s="5"/>
    </row>
    <row r="30" customFormat="false" ht="15" hidden="false" customHeight="true" outlineLevel="0" collapsed="false">
      <c r="A30" s="5" t="s">
        <v>38</v>
      </c>
      <c r="B30" s="13" t="n">
        <f aca="false">B28*B5</f>
        <v>5396.66666666667</v>
      </c>
      <c r="C30" s="7" t="s">
        <v>32</v>
      </c>
      <c r="D30" s="5"/>
    </row>
    <row r="31" customFormat="false" ht="15" hidden="false" customHeight="true" outlineLevel="0" collapsed="false">
      <c r="A31" s="5" t="s">
        <v>39</v>
      </c>
      <c r="B31" s="13" t="n">
        <f aca="false">B23</f>
        <v>539.666666666667</v>
      </c>
      <c r="C31" s="7" t="s">
        <v>25</v>
      </c>
      <c r="D31" s="5"/>
    </row>
    <row r="32" customFormat="false" ht="15" hidden="false" customHeight="true" outlineLevel="0" collapsed="false">
      <c r="A32" s="5" t="s">
        <v>40</v>
      </c>
      <c r="B32" s="17" t="n">
        <f aca="false">B18*(1+B14)/(B27-B20*(1+B14))</f>
        <v>6.14494074749316</v>
      </c>
      <c r="C32" s="7" t="s">
        <v>41</v>
      </c>
      <c r="D32" s="5"/>
    </row>
    <row r="34" customFormat="false" ht="15" hidden="false" customHeight="true" outlineLevel="0" collapsed="false">
      <c r="A34" s="11" t="s">
        <v>42</v>
      </c>
      <c r="B34" s="12"/>
      <c r="C34" s="12"/>
      <c r="D34" s="12"/>
    </row>
    <row r="35" customFormat="false" ht="15" hidden="false" customHeight="true" outlineLevel="0" collapsed="false">
      <c r="A35" s="18" t="s">
        <v>43</v>
      </c>
      <c r="B35" s="18" t="s">
        <v>44</v>
      </c>
      <c r="C35" s="18" t="s">
        <v>45</v>
      </c>
      <c r="D35" s="18" t="s">
        <v>46</v>
      </c>
    </row>
    <row r="36" customFormat="false" ht="15" hidden="false" customHeight="true" outlineLevel="0" collapsed="false">
      <c r="A36" s="19" t="n">
        <v>10</v>
      </c>
      <c r="B36" s="13" t="n">
        <f aca="false">($B$18/A36+$B$20)*(1+$B$14)</f>
        <v>664.5</v>
      </c>
      <c r="C36" s="13" t="n">
        <f aca="false">B36/(1-$B$15)</f>
        <v>1107.5</v>
      </c>
      <c r="D36" s="13" t="n">
        <f aca="false">(C36-B36)*A36</f>
        <v>4430</v>
      </c>
    </row>
    <row r="37" customFormat="false" ht="15" hidden="false" customHeight="true" outlineLevel="0" collapsed="false">
      <c r="A37" s="19" t="n">
        <v>15</v>
      </c>
      <c r="B37" s="13" t="n">
        <f aca="false">($B$18/A37+$B$20)*(1+$B$14)</f>
        <v>539.666666666667</v>
      </c>
      <c r="C37" s="13" t="n">
        <f aca="false">B37/(1-$B$15)</f>
        <v>899.444444444445</v>
      </c>
      <c r="D37" s="13" t="n">
        <f aca="false">(C37-B37)*A37</f>
        <v>5396.66666666667</v>
      </c>
    </row>
    <row r="38" customFormat="false" ht="15" hidden="false" customHeight="true" outlineLevel="0" collapsed="false">
      <c r="A38" s="19" t="n">
        <v>20</v>
      </c>
      <c r="B38" s="13" t="n">
        <f aca="false">($B$18/A38+$B$20)*(1+$B$14)</f>
        <v>477.25</v>
      </c>
      <c r="C38" s="13" t="n">
        <f aca="false">B38/(1-$B$15)</f>
        <v>795.416666666667</v>
      </c>
      <c r="D38" s="13" t="n">
        <f aca="false">(C38-B38)*A38</f>
        <v>6363.33333333334</v>
      </c>
    </row>
    <row r="39" customFormat="false" ht="15" hidden="false" customHeight="true" outlineLevel="0" collapsed="false">
      <c r="A39" s="19" t="n">
        <v>25</v>
      </c>
      <c r="B39" s="13" t="n">
        <f aca="false">($B$18/A39+$B$20)*(1+$B$14)</f>
        <v>439.8</v>
      </c>
      <c r="C39" s="13" t="n">
        <f aca="false">B39/(1-$B$15)</f>
        <v>733</v>
      </c>
      <c r="D39" s="13" t="n">
        <f aca="false">(C39-B39)*A39</f>
        <v>7330</v>
      </c>
    </row>
    <row r="40" customFormat="false" ht="15" hidden="false" customHeight="true" outlineLevel="0" collapsed="false">
      <c r="A40" s="19" t="n">
        <v>30</v>
      </c>
      <c r="B40" s="13" t="n">
        <f aca="false">($B$18/A40+$B$20)*(1+$B$14)</f>
        <v>414.833333333333</v>
      </c>
      <c r="C40" s="13" t="n">
        <f aca="false">B40/(1-$B$15)</f>
        <v>691.388888888889</v>
      </c>
      <c r="D40" s="13" t="n">
        <f aca="false">(C40-B40)*A40</f>
        <v>8296.66666666667</v>
      </c>
    </row>
    <row r="42" customFormat="false" ht="11.25" hidden="false" customHeight="true" outlineLevel="0" collapsed="false">
      <c r="A42" s="20" t="s">
        <v>47</v>
      </c>
      <c r="B42" s="20"/>
      <c r="C42" s="20"/>
      <c r="D42" s="20"/>
    </row>
    <row r="43" customFormat="false" ht="11.25" hidden="false" customHeight="true" outlineLevel="0" collapsed="false">
      <c r="A43" s="21" t="s">
        <v>48</v>
      </c>
      <c r="B43" s="21"/>
      <c r="C43" s="21"/>
      <c r="D43" s="21"/>
    </row>
    <row r="44" customFormat="false" ht="11.25" hidden="false" customHeight="true" outlineLevel="0" collapsed="false">
      <c r="A44" s="21" t="s">
        <v>49</v>
      </c>
      <c r="B44" s="21"/>
      <c r="C44" s="21"/>
      <c r="D44" s="21"/>
    </row>
    <row r="45" customFormat="false" ht="11.25" hidden="false" customHeight="true" outlineLevel="0" collapsed="false">
      <c r="A45" s="21" t="s">
        <v>50</v>
      </c>
      <c r="B45" s="21"/>
      <c r="C45" s="21"/>
      <c r="D45" s="21"/>
    </row>
    <row r="46" customFormat="false" ht="11.25" hidden="false" customHeight="true" outlineLevel="0" collapsed="false">
      <c r="A46" s="21" t="s">
        <v>51</v>
      </c>
      <c r="B46" s="21"/>
      <c r="C46" s="21"/>
      <c r="D46" s="21"/>
    </row>
    <row r="47" customFormat="false" ht="11.25" hidden="false" customHeight="true" outlineLevel="0" collapsed="false">
      <c r="A47" s="21" t="s">
        <v>52</v>
      </c>
      <c r="B47" s="21"/>
      <c r="C47" s="21"/>
      <c r="D47" s="21"/>
    </row>
  </sheetData>
  <mergeCells count="9">
    <mergeCell ref="A1:D1"/>
    <mergeCell ref="A2:D2"/>
    <mergeCell ref="A4:D4"/>
    <mergeCell ref="A42:D42"/>
    <mergeCell ref="A43:D43"/>
    <mergeCell ref="A44:D44"/>
    <mergeCell ref="A45:D45"/>
    <mergeCell ref="A46:D46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7"/>
    <col collapsed="false" customWidth="true" hidden="false" outlineLevel="0" max="6" min="4" style="1" width="14"/>
  </cols>
  <sheetData>
    <row r="1" customFormat="false" ht="27.75" hidden="false" customHeight="true" outlineLevel="0" collapsed="false">
      <c r="A1" s="22" t="s">
        <v>53</v>
      </c>
      <c r="B1" s="22"/>
      <c r="C1" s="22"/>
      <c r="D1" s="22"/>
      <c r="E1" s="22"/>
      <c r="F1" s="22"/>
    </row>
    <row r="2" customFormat="false" ht="12" hidden="false" customHeight="true" outlineLevel="0" collapsed="false">
      <c r="A2" s="3" t="s">
        <v>54</v>
      </c>
      <c r="B2" s="3"/>
      <c r="C2" s="3"/>
      <c r="D2" s="3"/>
      <c r="E2" s="3"/>
      <c r="F2" s="3"/>
    </row>
    <row r="4" customFormat="false" ht="14.25" hidden="false" customHeight="true" outlineLevel="0" collapsed="false">
      <c r="A4" s="4" t="s">
        <v>55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15</v>
      </c>
      <c r="C5" s="21" t="s">
        <v>4</v>
      </c>
      <c r="D5" s="21"/>
    </row>
    <row r="6" customFormat="false" ht="15" hidden="false" customHeight="true" outlineLevel="0" collapsed="false">
      <c r="A6" s="5" t="s">
        <v>56</v>
      </c>
      <c r="B6" s="23" t="n">
        <v>100</v>
      </c>
      <c r="C6" s="21" t="s">
        <v>57</v>
      </c>
      <c r="D6" s="21"/>
    </row>
    <row r="7" customFormat="false" ht="15" hidden="false" customHeight="true" outlineLevel="0" collapsed="false">
      <c r="A7" s="5" t="s">
        <v>58</v>
      </c>
      <c r="B7" s="24" t="n">
        <v>33.29</v>
      </c>
      <c r="C7" s="21" t="s">
        <v>59</v>
      </c>
      <c r="D7" s="21"/>
    </row>
    <row r="8" customFormat="false" ht="15" hidden="false" customHeight="true" outlineLevel="0" collapsed="false">
      <c r="A8" s="5" t="s">
        <v>60</v>
      </c>
      <c r="B8" s="25" t="n">
        <v>0.025</v>
      </c>
      <c r="C8" s="21" t="s">
        <v>61</v>
      </c>
      <c r="D8" s="21"/>
    </row>
    <row r="9" customFormat="false" ht="15" hidden="false" customHeight="true" outlineLevel="0" collapsed="false">
      <c r="A9" s="26" t="s">
        <v>62</v>
      </c>
      <c r="B9" s="15" t="n">
        <f aca="false">B6*B7*(1+B8)</f>
        <v>3412.225</v>
      </c>
      <c r="C9" s="21" t="s">
        <v>63</v>
      </c>
      <c r="D9" s="21"/>
    </row>
    <row r="11" customFormat="false" ht="30" hidden="false" customHeight="true" outlineLevel="0" collapsed="false">
      <c r="A11" s="27" t="s">
        <v>64</v>
      </c>
      <c r="B11" s="27" t="s">
        <v>65</v>
      </c>
      <c r="C11" s="27" t="s">
        <v>66</v>
      </c>
      <c r="D11" s="27" t="s">
        <v>67</v>
      </c>
      <c r="E11" s="27" t="s">
        <v>68</v>
      </c>
      <c r="F11" s="27" t="s">
        <v>69</v>
      </c>
    </row>
    <row r="12" customFormat="false" ht="15" hidden="false" customHeight="true" outlineLevel="0" collapsed="false">
      <c r="A12" s="19" t="n">
        <v>2</v>
      </c>
      <c r="B12" s="28" t="n">
        <f aca="false">ROUNDUP($B$5/A12,0)</f>
        <v>8</v>
      </c>
      <c r="C12" s="13" t="n">
        <f aca="false">B12*$B$9</f>
        <v>27297.8</v>
      </c>
      <c r="D12" s="29" t="n">
        <f aca="false">C12/$B$5</f>
        <v>1819.85333333333</v>
      </c>
      <c r="E12" s="30" t="n">
        <f aca="false">5/A12</f>
        <v>2.5</v>
      </c>
      <c r="F12" s="31" t="s">
        <v>70</v>
      </c>
    </row>
    <row r="13" customFormat="false" ht="15" hidden="false" customHeight="true" outlineLevel="0" collapsed="false">
      <c r="A13" s="19" t="n">
        <v>3</v>
      </c>
      <c r="B13" s="28" t="n">
        <f aca="false">ROUNDUP($B$5/A13,0)</f>
        <v>5</v>
      </c>
      <c r="C13" s="13" t="n">
        <f aca="false">B13*$B$9</f>
        <v>17061.125</v>
      </c>
      <c r="D13" s="29" t="n">
        <f aca="false">C13/$B$5</f>
        <v>1137.40833333333</v>
      </c>
      <c r="E13" s="30" t="n">
        <f aca="false">5/A13</f>
        <v>1.66666666666667</v>
      </c>
      <c r="F13" s="32" t="s">
        <v>71</v>
      </c>
    </row>
    <row r="14" customFormat="false" ht="15" hidden="false" customHeight="true" outlineLevel="0" collapsed="false">
      <c r="A14" s="19" t="n">
        <v>4</v>
      </c>
      <c r="B14" s="28" t="n">
        <f aca="false">ROUNDUP($B$5/A14,0)</f>
        <v>4</v>
      </c>
      <c r="C14" s="13" t="n">
        <f aca="false">B14*$B$9</f>
        <v>13648.9</v>
      </c>
      <c r="D14" s="29" t="n">
        <f aca="false">C14/$B$5</f>
        <v>909.926666666667</v>
      </c>
      <c r="E14" s="30" t="n">
        <f aca="false">5/A14</f>
        <v>1.25</v>
      </c>
      <c r="F14" s="33" t="s">
        <v>72</v>
      </c>
    </row>
    <row r="15" customFormat="false" ht="15" hidden="false" customHeight="true" outlineLevel="0" collapsed="false">
      <c r="A15" s="19" t="n">
        <v>5</v>
      </c>
      <c r="B15" s="28" t="n">
        <f aca="false">ROUNDUP($B$5/A15,0)</f>
        <v>3</v>
      </c>
      <c r="C15" s="13" t="n">
        <f aca="false">B15*$B$9</f>
        <v>10236.675</v>
      </c>
      <c r="D15" s="29" t="n">
        <f aca="false">C15/$B$5</f>
        <v>682.445</v>
      </c>
      <c r="E15" s="30" t="n">
        <f aca="false">5/A15</f>
        <v>1</v>
      </c>
      <c r="F15" s="34" t="s">
        <v>73</v>
      </c>
    </row>
    <row r="18" customFormat="false" ht="11.25" hidden="false" customHeight="true" outlineLevel="0" collapsed="false">
      <c r="A18" s="35" t="s">
        <v>74</v>
      </c>
      <c r="B18" s="35"/>
      <c r="C18" s="35"/>
      <c r="D18" s="35"/>
      <c r="E18" s="35"/>
      <c r="F18" s="35"/>
    </row>
    <row r="19" customFormat="false" ht="11.25" hidden="false" customHeight="true" outlineLevel="0" collapsed="false">
      <c r="A19" s="36" t="s">
        <v>75</v>
      </c>
      <c r="B19" s="36"/>
      <c r="C19" s="36"/>
      <c r="D19" s="36"/>
      <c r="E19" s="36"/>
      <c r="F19" s="36"/>
    </row>
    <row r="20" customFormat="false" ht="11.25" hidden="false" customHeight="true" outlineLevel="0" collapsed="false">
      <c r="A20" s="36" t="s">
        <v>76</v>
      </c>
      <c r="B20" s="36"/>
      <c r="C20" s="36"/>
      <c r="D20" s="36"/>
      <c r="E20" s="36"/>
      <c r="F20" s="36"/>
    </row>
    <row r="21" customFormat="false" ht="11.25" hidden="false" customHeight="true" outlineLevel="0" collapsed="false">
      <c r="A21" s="36" t="s">
        <v>77</v>
      </c>
      <c r="B21" s="36"/>
      <c r="C21" s="36"/>
      <c r="D21" s="36"/>
      <c r="E21" s="36"/>
      <c r="F21" s="36"/>
    </row>
    <row r="22" customFormat="false" ht="11.25" hidden="false" customHeight="true" outlineLevel="0" collapsed="false">
      <c r="A22" s="36" t="s">
        <v>78</v>
      </c>
      <c r="B22" s="36"/>
      <c r="C22" s="36"/>
      <c r="D22" s="36"/>
      <c r="E22" s="36"/>
      <c r="F22" s="36"/>
    </row>
    <row r="23" customFormat="false" ht="11.25" hidden="false" customHeight="true" outlineLevel="0" collapsed="false">
      <c r="A23" s="36" t="s">
        <v>79</v>
      </c>
      <c r="B23" s="36"/>
      <c r="C23" s="36"/>
      <c r="D23" s="36"/>
      <c r="E23" s="36"/>
      <c r="F23" s="36"/>
    </row>
    <row r="24" customFormat="false" ht="11.25" hidden="false" customHeight="true" outlineLevel="0" collapsed="false">
      <c r="A24" s="36" t="s">
        <v>80</v>
      </c>
      <c r="B24" s="36"/>
      <c r="C24" s="36"/>
      <c r="D24" s="36"/>
      <c r="E24" s="36"/>
      <c r="F24" s="36"/>
    </row>
  </sheetData>
  <mergeCells count="15">
    <mergeCell ref="A1:F1"/>
    <mergeCell ref="A2:F2"/>
    <mergeCell ref="A4:F4"/>
    <mergeCell ref="C5:D5"/>
    <mergeCell ref="C6:D6"/>
    <mergeCell ref="C7:D7"/>
    <mergeCell ref="C8:D8"/>
    <mergeCell ref="C9:D9"/>
    <mergeCell ref="A18:F18"/>
    <mergeCell ref="A19:F19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2026-06-30T04:12:43Z</dcterms:created>
  <dc:creator>openpyxl</dc:creator>
  <dc:description/>
  <dc:language>en-US</dc:language>
  <cp:lastModifiedBy/>
  <dcterms:modified xsi:type="dcterms:W3CDTF">2026-06-30T04:28:38Z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