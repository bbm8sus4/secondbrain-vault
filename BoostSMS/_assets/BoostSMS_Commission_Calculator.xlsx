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คำนวณค่าคอม" sheetId="1" state="visible" r:id="rId1"/>
    <sheet name="ตารางแพ็กเก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"/>
  </numFmts>
  <fonts count="13">
    <font>
      <name val="Calibri"/>
      <family val="2"/>
      <color theme="1"/>
      <sz val="11"/>
      <scheme val="minor"/>
    </font>
    <font>
      <name val="Helvetica Neue"/>
      <b val="1"/>
      <color rgb="001A1A2E"/>
      <sz val="16"/>
    </font>
    <font>
      <name val="Helvetica Neue"/>
      <color rgb="00888888"/>
      <sz val="10"/>
    </font>
    <font>
      <name val="Helvetica Neue"/>
      <b val="1"/>
      <color rgb="00FFFFFF"/>
      <sz val="12"/>
    </font>
    <font>
      <name val="Helvetica Neue"/>
      <sz val="11"/>
    </font>
    <font>
      <name val="Helvetica Neue"/>
      <b val="1"/>
      <color rgb="000F3460"/>
      <sz val="11"/>
    </font>
    <font>
      <name val="Helvetica Neue"/>
      <b val="1"/>
      <color rgb="00E74C3C"/>
      <sz val="12"/>
    </font>
    <font>
      <name val="Helvetica Neue"/>
      <b val="1"/>
      <color rgb="000F3460"/>
      <sz val="13"/>
    </font>
    <font>
      <name val="Helvetica Neue"/>
      <b val="1"/>
      <color rgb="001A1A2E"/>
      <sz val="14"/>
    </font>
    <font>
      <name val="Helvetica Neue"/>
      <b val="1"/>
      <color rgb="00FFFFFF"/>
      <sz val="14"/>
    </font>
    <font>
      <name val="Helvetica Neue"/>
      <b val="1"/>
      <color rgb="00FFFFFF"/>
      <sz val="16"/>
    </font>
    <font>
      <name val="Helvetica Neue"/>
      <b val="1"/>
      <color rgb="00888888"/>
      <sz val="11"/>
    </font>
    <font>
      <name val="Helvetica Neue"/>
      <color rgb="00888888"/>
      <sz val="11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8E1"/>
      </patternFill>
    </fill>
    <fill>
      <patternFill patternType="solid">
        <fgColor rgb="00F8F9FB"/>
      </patternFill>
    </fill>
    <fill>
      <patternFill patternType="solid">
        <fgColor rgb="00FFFFFF"/>
      </patternFill>
    </fill>
    <fill>
      <patternFill patternType="solid">
        <fgColor rgb="00EEF3FF"/>
      </patternFill>
    </fill>
    <fill>
      <patternFill patternType="solid">
        <fgColor rgb="000F346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0" fillId="6" borderId="1" pivotButton="0" quotePrefix="0" xfId="0"/>
    <xf numFmtId="3" fontId="8" fillId="6" borderId="1" applyAlignment="1" pivotButton="0" quotePrefix="0" xfId="0">
      <alignment horizontal="center" vertical="center"/>
    </xf>
    <xf numFmtId="0" fontId="7" fillId="6" borderId="1" pivotButton="0" quotePrefix="0" xfId="0"/>
    <xf numFmtId="0" fontId="7" fillId="0" borderId="0" pivotButton="0" quotePrefix="0" xfId="0"/>
    <xf numFmtId="3" fontId="6" fillId="3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0" fillId="7" borderId="1" pivotButton="0" quotePrefix="0" xfId="0"/>
    <xf numFmtId="3" fontId="10" fillId="7" borderId="1" applyAlignment="1" pivotButton="0" quotePrefix="0" xfId="0">
      <alignment horizontal="center" vertical="center"/>
    </xf>
    <xf numFmtId="0" fontId="11" fillId="0" borderId="0" pivotButton="0" quotePrefix="0" xfId="0"/>
    <xf numFmtId="0" fontId="1" fillId="0" borderId="0" pivotButton="0" quotePrefix="0" xfId="0"/>
    <xf numFmtId="0" fontId="4" fillId="4" borderId="1" pivotButton="0" quotePrefix="0" xfId="0"/>
    <xf numFmtId="3" fontId="12" fillId="4" borderId="1" applyAlignment="1" pivotButton="0" quotePrefix="0" xfId="0">
      <alignment horizontal="center" vertical="center"/>
    </xf>
    <xf numFmtId="0" fontId="4" fillId="5" borderId="1" pivotButton="0" quotePrefix="0" xfId="0"/>
    <xf numFmtId="3" fontId="1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3460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6" customWidth="1" min="4" max="4"/>
    <col width="4" customWidth="1" min="5" max="5"/>
    <col width="22" customWidth="1" min="6" max="6"/>
    <col width="18" customWidth="1" min="7" max="7"/>
  </cols>
  <sheetData>
    <row r="1">
      <c r="A1" s="1" t="inlineStr">
        <is>
          <t>BoostSMS — ตัวคำนวณค่าคอมมิชชั่น</t>
        </is>
      </c>
    </row>
    <row r="2">
      <c r="A2" s="2" t="inlineStr">
        <is>
          <t>กรอกจำนวนที่ปิดได้ในคอลัมน์ C แล้วดูผลลัพธ์ด้านล่าง</t>
        </is>
      </c>
    </row>
    <row r="4">
      <c r="A4" s="3" t="inlineStr">
        <is>
          <t>แพ็กเกจ</t>
        </is>
      </c>
      <c r="B4" s="3" t="inlineStr">
        <is>
          <t>ราคา (บาท)</t>
        </is>
      </c>
      <c r="C4" s="3" t="inlineStr">
        <is>
          <t>จำนวนที่ปิด</t>
        </is>
      </c>
      <c r="D4" s="3" t="inlineStr">
        <is>
          <t>คอม (บาท)</t>
        </is>
      </c>
      <c r="F4" s="4" t="inlineStr">
        <is>
          <t>โบนัสเป้ารายเดือน</t>
        </is>
      </c>
      <c r="G4" s="5" t="n"/>
    </row>
    <row r="5">
      <c r="A5" s="6" t="inlineStr">
        <is>
          <t>Boost Spark</t>
        </is>
      </c>
      <c r="B5" s="7" t="n">
        <v>350</v>
      </c>
      <c r="C5" s="8" t="n">
        <v>0</v>
      </c>
      <c r="D5" s="7">
        <f>B5*C5*0.08</f>
        <v/>
      </c>
      <c r="F5" s="9" t="inlineStr">
        <is>
          <t>≥ ฿100,000</t>
        </is>
      </c>
      <c r="G5" s="10" t="n">
        <v>3000</v>
      </c>
    </row>
    <row r="6">
      <c r="A6" s="11" t="inlineStr">
        <is>
          <t>Boost Shop</t>
        </is>
      </c>
      <c r="B6" s="12" t="n">
        <v>1000</v>
      </c>
      <c r="C6" s="8" t="n">
        <v>0</v>
      </c>
      <c r="D6" s="12">
        <f>B6*C6*0.08</f>
        <v/>
      </c>
      <c r="F6" s="13" t="inlineStr">
        <is>
          <t>≥ ฿300,000</t>
        </is>
      </c>
      <c r="G6" s="14" t="n">
        <v>8000</v>
      </c>
    </row>
    <row r="7">
      <c r="A7" s="6" t="inlineStr">
        <is>
          <t>Boost Grow</t>
        </is>
      </c>
      <c r="B7" s="7" t="n">
        <v>3500</v>
      </c>
      <c r="C7" s="8" t="n">
        <v>0</v>
      </c>
      <c r="D7" s="7">
        <f>B7*C7*0.08</f>
        <v/>
      </c>
      <c r="F7" s="9" t="inlineStr">
        <is>
          <t>≥ ฿500,000</t>
        </is>
      </c>
      <c r="G7" s="10" t="n">
        <v>15000</v>
      </c>
    </row>
    <row r="8">
      <c r="A8" s="11" t="inlineStr">
        <is>
          <t>Boost Pro</t>
        </is>
      </c>
      <c r="B8" s="12" t="n">
        <v>10000</v>
      </c>
      <c r="C8" s="8" t="n">
        <v>0</v>
      </c>
      <c r="D8" s="12">
        <f>B8*C8*0.08</f>
        <v/>
      </c>
    </row>
    <row r="9">
      <c r="A9" s="6" t="inlineStr">
        <is>
          <t>Boost Business</t>
        </is>
      </c>
      <c r="B9" s="7" t="n">
        <v>30000</v>
      </c>
      <c r="C9" s="8" t="n">
        <v>0</v>
      </c>
      <c r="D9" s="7">
        <f>B9*C9*0.08</f>
        <v/>
      </c>
      <c r="F9" s="4" t="inlineStr">
        <is>
          <t>เงินเดือนฐาน</t>
        </is>
      </c>
      <c r="G9" s="5" t="n"/>
    </row>
    <row r="10">
      <c r="A10" s="11" t="inlineStr">
        <is>
          <t>Boost Scale</t>
        </is>
      </c>
      <c r="B10" s="12" t="n">
        <v>100000</v>
      </c>
      <c r="C10" s="8" t="n">
        <v>0</v>
      </c>
      <c r="D10" s="12">
        <f>B10*C10*0.08</f>
        <v/>
      </c>
      <c r="F10" s="15" t="inlineStr">
        <is>
          <t>Sales ใหม่</t>
        </is>
      </c>
      <c r="G10" s="16" t="n">
        <v>15000</v>
      </c>
    </row>
    <row r="11">
      <c r="A11" s="6" t="inlineStr">
        <is>
          <t>Boost Enterprise</t>
        </is>
      </c>
      <c r="B11" s="7" t="n">
        <v>300000</v>
      </c>
      <c r="C11" s="8" t="n">
        <v>0</v>
      </c>
      <c r="D11" s="7">
        <f>B11*C11*0.08</f>
        <v/>
      </c>
      <c r="F11" s="15" t="inlineStr">
        <is>
          <t>Sales ประสบการณ์</t>
        </is>
      </c>
      <c r="G11" s="16" t="n">
        <v>18000</v>
      </c>
    </row>
    <row r="12">
      <c r="A12" s="11" t="inlineStr">
        <is>
          <t>Boost Enterprise+</t>
        </is>
      </c>
      <c r="B12" s="12" t="n">
        <v>1200000</v>
      </c>
      <c r="C12" s="8" t="n">
        <v>0</v>
      </c>
      <c r="D12" s="12">
        <f>B12*C12*0.08</f>
        <v/>
      </c>
      <c r="F12" s="15" t="inlineStr">
        <is>
          <t>Senior / Lead</t>
        </is>
      </c>
      <c r="G12" s="17" t="inlineStr">
        <is>
          <t>22,000–25,000</t>
        </is>
      </c>
    </row>
    <row r="14">
      <c r="A14" s="18" t="inlineStr">
        <is>
          <t>ยอดขายรวม</t>
        </is>
      </c>
      <c r="B14" s="19" t="n"/>
      <c r="C14" s="19" t="n"/>
      <c r="D14" s="20">
        <f>SUMPRODUCT(B5:B12,C5:C12)</f>
        <v/>
      </c>
    </row>
    <row r="15">
      <c r="A15" s="21" t="inlineStr">
        <is>
          <t>คอมรวม (8%)</t>
        </is>
      </c>
      <c r="B15" s="19" t="n"/>
      <c r="C15" s="19" t="n"/>
      <c r="D15" s="20">
        <f>SUM(D5:D12)</f>
        <v/>
      </c>
    </row>
    <row r="17">
      <c r="A17" s="22" t="inlineStr">
        <is>
          <t>เงินเดือนฐาน</t>
        </is>
      </c>
      <c r="B17" s="2" t="inlineStr">
        <is>
          <t>← กรอกเงินเดือน</t>
        </is>
      </c>
      <c r="D17" s="23" t="n">
        <v>15000</v>
      </c>
    </row>
    <row r="18">
      <c r="A18" s="21" t="inlineStr">
        <is>
          <t>โบนัสเป้า</t>
        </is>
      </c>
      <c r="B18" s="19" t="n"/>
      <c r="C18" s="19" t="n"/>
      <c r="D18" s="20">
        <f>IF(D14&gt;=500000,15000,IF(D14&gt;=300000,8000,IF(D14&gt;=100000,3000,0)))</f>
        <v/>
      </c>
    </row>
    <row r="20">
      <c r="A20" s="24" t="inlineStr">
        <is>
          <t>รายได้รวมทั้งเดือน</t>
        </is>
      </c>
      <c r="B20" s="25" t="n"/>
      <c r="C20" s="25" t="n"/>
      <c r="D20" s="26">
        <f>D17+D15+D18</f>
        <v/>
      </c>
    </row>
    <row r="22">
      <c r="A22" s="27" t="inlineStr">
        <is>
          <t>หมายเหตุ:</t>
        </is>
      </c>
    </row>
    <row r="23">
      <c r="A23" s="2" t="inlineStr">
        <is>
          <t>• คอมคิดจากยอดก่อน VAT  •  จ่ายวันที่ 10 เดือนถัดไป</t>
        </is>
      </c>
    </row>
    <row r="24">
      <c r="A24" s="2" t="inlineStr">
        <is>
          <t>• Upsell คิดคอมจากส่วนต่าง  •  Refund ใน 7 วัน ไม่นับ</t>
        </is>
      </c>
    </row>
    <row r="25">
      <c r="A25" s="2" t="inlineStr">
        <is>
          <t>• ลูกค้าซื้อซ้ำใน 6 เดือน → Recurring 4%</t>
        </is>
      </c>
    </row>
    <row r="26">
      <c r="A26" s="2" t="inlineStr">
        <is>
          <t>• เป้าขั้นต่ำเดือน 4+: ฿30,000  •  ต่ำกว่า 3 เดือนติด → ประเมิน</t>
        </is>
      </c>
    </row>
  </sheetData>
  <mergeCells count="11">
    <mergeCell ref="A1:D1"/>
    <mergeCell ref="F4:G4"/>
    <mergeCell ref="A23:D23"/>
    <mergeCell ref="A15:B15"/>
    <mergeCell ref="A26:D26"/>
    <mergeCell ref="A14:B14"/>
    <mergeCell ref="A25:D25"/>
    <mergeCell ref="A24:D24"/>
    <mergeCell ref="A2:D2"/>
    <mergeCell ref="A20:C20"/>
    <mergeCell ref="F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A7BD5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28" t="inlineStr">
        <is>
          <t>BoostSMS — ตารางราคาแพ็กเกจและค่าคอมมิชชั่น</t>
        </is>
      </c>
    </row>
    <row r="3">
      <c r="A3" s="3" t="inlineStr">
        <is>
          <t>แพ็กเกจ</t>
        </is>
      </c>
      <c r="B3" s="3" t="inlineStr">
        <is>
          <t>ราคา (บาท)</t>
        </is>
      </c>
      <c r="C3" s="3" t="inlineStr">
        <is>
          <t>คอม 8%</t>
        </is>
      </c>
      <c r="D3" s="3" t="inlineStr">
        <is>
          <t>Recurring 4%</t>
        </is>
      </c>
    </row>
    <row r="4">
      <c r="A4" s="29" t="inlineStr">
        <is>
          <t>Boost Spark</t>
        </is>
      </c>
      <c r="B4" s="7" t="n">
        <v>350</v>
      </c>
      <c r="C4" s="7" t="n">
        <v>28</v>
      </c>
      <c r="D4" s="30" t="n">
        <v>14</v>
      </c>
    </row>
    <row r="5">
      <c r="A5" s="31" t="inlineStr">
        <is>
          <t>Boost Shop</t>
        </is>
      </c>
      <c r="B5" s="12" t="n">
        <v>1000</v>
      </c>
      <c r="C5" s="12" t="n">
        <v>80</v>
      </c>
      <c r="D5" s="32" t="n">
        <v>40</v>
      </c>
    </row>
    <row r="6">
      <c r="A6" s="29" t="inlineStr">
        <is>
          <t>Boost Grow</t>
        </is>
      </c>
      <c r="B6" s="7" t="n">
        <v>3500</v>
      </c>
      <c r="C6" s="7" t="n">
        <v>280</v>
      </c>
      <c r="D6" s="30" t="n">
        <v>140</v>
      </c>
    </row>
    <row r="7">
      <c r="A7" s="31" t="inlineStr">
        <is>
          <t>Boost Pro</t>
        </is>
      </c>
      <c r="B7" s="12" t="n">
        <v>10000</v>
      </c>
      <c r="C7" s="12" t="n">
        <v>800</v>
      </c>
      <c r="D7" s="32" t="n">
        <v>400</v>
      </c>
    </row>
    <row r="8">
      <c r="A8" s="29" t="inlineStr">
        <is>
          <t>Boost Business</t>
        </is>
      </c>
      <c r="B8" s="7" t="n">
        <v>30000</v>
      </c>
      <c r="C8" s="7" t="n">
        <v>2400</v>
      </c>
      <c r="D8" s="30" t="n">
        <v>1200</v>
      </c>
    </row>
    <row r="9">
      <c r="A9" s="31" t="inlineStr">
        <is>
          <t>Boost Scale</t>
        </is>
      </c>
      <c r="B9" s="12" t="n">
        <v>100000</v>
      </c>
      <c r="C9" s="12" t="n">
        <v>8000</v>
      </c>
      <c r="D9" s="32" t="n">
        <v>4000</v>
      </c>
    </row>
    <row r="10">
      <c r="A10" s="29" t="inlineStr">
        <is>
          <t>Boost Enterprise</t>
        </is>
      </c>
      <c r="B10" s="7" t="n">
        <v>300000</v>
      </c>
      <c r="C10" s="7" t="n">
        <v>24000</v>
      </c>
      <c r="D10" s="30" t="n">
        <v>12000</v>
      </c>
    </row>
    <row r="11">
      <c r="A11" s="31" t="inlineStr">
        <is>
          <t>Boost Enterprise+</t>
        </is>
      </c>
      <c r="B11" s="12" t="n">
        <v>1200000</v>
      </c>
      <c r="C11" s="12" t="n">
        <v>96000</v>
      </c>
      <c r="D11" s="32" t="n">
        <v>48000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2026-06-05T04:04:39Z</dcterms:created>
  <dcterms:modified xsi:type="dcterms:W3CDTF">2026-06-05T04:04:39Z</dcterms:modified>
</cp:coreProperties>
</file>