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_Record" sheetId="1" state="visible" r:id="rId1"/>
    <sheet name="ค่าคอมเซลล์" sheetId="2" state="visible" r:id="rId2"/>
    <sheet name="LINE_API" sheetId="3" state="visible" r:id="rId3"/>
    <sheet name="EasySlip_Kbank" sheetId="4" state="visible" r:id="rId4"/>
    <sheet name="Hosting" sheetId="5" state="visible" r:id="rId5"/>
    <sheet name="ทีม" sheetId="6" state="visible" r:id="rId6"/>
    <sheet name="อื่นๆ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1A2433"/>
      <sz val="18"/>
    </font>
    <font>
      <name val="Arial"/>
      <color rgb="006A7682"/>
      <sz val="10"/>
    </font>
    <font>
      <name val="Arial"/>
      <b val="1"/>
      <color rgb="00FFFFFF"/>
      <sz val="10"/>
    </font>
    <font>
      <name val="Arial"/>
      <b val="1"/>
      <color rgb="004A5562"/>
      <sz val="9"/>
    </font>
    <font>
      <name val="Arial"/>
      <b val="1"/>
      <color rgb="001F2A36"/>
      <sz val="11"/>
    </font>
    <font>
      <name val="Arial"/>
      <b val="1"/>
      <color rgb="004A5562"/>
      <sz val="8"/>
    </font>
    <font>
      <name val="Arial"/>
      <b val="1"/>
      <color rgb="002A3642"/>
      <sz val="9"/>
    </font>
    <font>
      <name val="Arial"/>
      <color rgb="002A3642"/>
      <sz val="9"/>
    </font>
  </fonts>
  <fills count="8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666666"/>
      </patternFill>
    </fill>
    <fill>
      <patternFill patternType="solid">
        <fgColor rgb="00EDEDED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FAFBFC"/>
      </patternFill>
    </fill>
  </fills>
  <borders count="6">
    <border>
      <left/>
      <right/>
      <top/>
      <bottom/>
      <diagonal/>
    </border>
    <border>
      <left style="thin">
        <color rgb="00D7DCE0"/>
      </left>
      <right style="thin">
        <color rgb="00D7DCE0"/>
      </right>
      <top style="thin">
        <color rgb="00D7DCE0"/>
      </top>
      <bottom style="thin">
        <color rgb="00D7DCE0"/>
      </bottom>
    </border>
    <border>
      <left/>
      <right/>
      <top style="thin">
        <color rgb="00D7DCE0"/>
      </top>
      <bottom/>
      <diagonal/>
    </border>
    <border>
      <left/>
      <right style="thin">
        <color rgb="00D7DCE0"/>
      </right>
      <top style="thin">
        <color rgb="00D7DCE0"/>
      </top>
      <bottom/>
      <diagonal/>
    </border>
    <border>
      <left/>
      <right/>
      <top style="thin">
        <color rgb="00D7DCE0"/>
      </top>
      <bottom style="thin">
        <color rgb="00D7DCE0"/>
      </bottom>
      <diagonal/>
    </border>
    <border>
      <left/>
      <right style="thin">
        <color rgb="00D7DCE0"/>
      </right>
      <top style="thin">
        <color rgb="00D7DCE0"/>
      </top>
      <bottom style="thin">
        <color rgb="00D7DCE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 wrapText="1"/>
    </xf>
    <xf numFmtId="3" fontId="6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6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 indent="1"/>
    </xf>
    <xf numFmtId="4" fontId="9" fillId="6" borderId="1" applyAlignment="1" pivotButton="0" quotePrefix="0" xfId="0">
      <alignment horizontal="right" vertical="center" indent="1"/>
    </xf>
    <xf numFmtId="0" fontId="9" fillId="7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 indent="1"/>
    </xf>
    <xf numFmtId="4" fontId="9" fillId="7" borderId="1" applyAlignment="1" pivotButton="0" quotePrefix="0" xfId="0">
      <alignment horizontal="right" vertical="center" indent="1"/>
    </xf>
    <xf numFmtId="4" fontId="6" fillId="4" borderId="1" applyAlignment="1" pivotButton="0" quotePrefix="0" xfId="0">
      <alignment horizontal="right" vertical="center" indent="1"/>
    </xf>
    <xf numFmtId="0" fontId="0" fillId="4" borderId="1" pivotButton="0" quotePrefix="0" xfId="0"/>
    <xf numFmtId="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45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4" customWidth="1" min="4" max="4"/>
    <col width="26" customWidth="1" min="5" max="5"/>
    <col width="18" customWidth="1" min="6" max="6"/>
    <col width="12" customWidth="1" min="7" max="7"/>
    <col width="12" customWidth="1" min="8" max="8"/>
    <col width="10" customWidth="1" min="9" max="9"/>
    <col width="14" customWidth="1" min="10" max="10"/>
    <col width="14" customWidth="1" min="11" max="11"/>
    <col width="30" customWidth="1" min="12" max="12"/>
  </cols>
  <sheetData>
    <row r="1" ht="24" customHeight="1"/>
    <row r="2" ht="20" customHeight="1">
      <c r="A2" s="12" t="inlineStr">
        <is>
          <t>บันทึก</t>
        </is>
      </c>
      <c r="B2" s="9" t="n"/>
      <c r="C2" s="10" t="n"/>
      <c r="D2" s="12" t="inlineStr">
        <is>
          <t>หมวด · รายการ</t>
        </is>
      </c>
      <c r="E2" s="10" t="n"/>
      <c r="F2" s="12" t="inlineStr">
        <is>
          <t>ผู้ให้บริการ</t>
        </is>
      </c>
      <c r="G2" s="12" t="inlineStr">
        <is>
          <t>ลักษณะ · ความถี่</t>
        </is>
      </c>
      <c r="H2" s="10" t="n"/>
      <c r="I2" s="12" t="inlineStr">
        <is>
          <t>จำนวน × ราคา/หน่วย</t>
        </is>
      </c>
      <c r="J2" s="10" t="n"/>
      <c r="K2" s="12" t="inlineStr">
        <is>
          <t>ยอด (THB)</t>
        </is>
      </c>
      <c r="L2" s="12" t="inlineStr">
        <is>
          <t>หมายเหตุ</t>
        </is>
      </c>
    </row>
    <row r="3">
      <c r="A3" s="13" t="inlineStr">
        <is>
          <t>No</t>
        </is>
      </c>
      <c r="B3" s="13" t="inlineStr">
        <is>
          <t>วันที่</t>
        </is>
      </c>
      <c r="C3" s="13" t="inlineStr">
        <is>
          <t>ไตรมาส</t>
        </is>
      </c>
      <c r="D3" s="13" t="inlineStr">
        <is>
          <t>หมวด</t>
        </is>
      </c>
      <c r="E3" s="13" t="inlineStr">
        <is>
          <t>รายการ</t>
        </is>
      </c>
      <c r="F3" s="13" t="inlineStr">
        <is>
          <t>ผู้ให้บริการ</t>
        </is>
      </c>
      <c r="G3" s="13" t="inlineStr">
        <is>
          <t>Fixed/Var</t>
        </is>
      </c>
      <c r="H3" s="13" t="inlineStr">
        <is>
          <t>ความถี่</t>
        </is>
      </c>
      <c r="I3" s="13" t="inlineStr">
        <is>
          <t>จำนวน</t>
        </is>
      </c>
      <c r="J3" s="13" t="inlineStr">
        <is>
          <t>ราคา/หน่วย</t>
        </is>
      </c>
      <c r="K3" s="13" t="inlineStr">
        <is>
          <t>ยอด/เดือน</t>
        </is>
      </c>
      <c r="L3" s="13" t="inlineStr">
        <is>
          <t>หมายเหตุ</t>
        </is>
      </c>
    </row>
    <row r="4">
      <c r="A4" s="14">
        <f>IF(B4="","",ROW()-3)</f>
        <v/>
      </c>
      <c r="B4" s="15" t="n"/>
      <c r="C4" s="14">
        <f>IF(B4="","","Q"&amp;ROUNDUP(MONTH(B4)/3,0))</f>
        <v/>
      </c>
      <c r="D4" s="16" t="inlineStr">
        <is>
          <t>ค่าคอม</t>
        </is>
      </c>
      <c r="E4" s="16" t="inlineStr">
        <is>
          <t>คอมเซลล์ Starter</t>
        </is>
      </c>
      <c r="F4" s="16" t="inlineStr">
        <is>
          <t>ทีมขาย</t>
        </is>
      </c>
      <c r="G4" s="14" t="inlineStr">
        <is>
          <t>Variable</t>
        </is>
      </c>
      <c r="H4" s="16" t="inlineStr">
        <is>
          <t>ต่อดีล</t>
        </is>
      </c>
      <c r="I4" s="17" t="n">
        <v>0</v>
      </c>
      <c r="J4" s="17" t="n">
        <v>0</v>
      </c>
      <c r="K4" s="17">
        <f>IFERROR(I4*J4,0)</f>
        <v/>
      </c>
      <c r="L4" s="16" t="inlineStr">
        <is>
          <t>อ้างอิง Commission xlsx</t>
        </is>
      </c>
    </row>
    <row r="5">
      <c r="A5" s="18">
        <f>IF(B5="","",ROW()-3)</f>
        <v/>
      </c>
      <c r="B5" s="19" t="n"/>
      <c r="C5" s="18">
        <f>IF(B5="","","Q"&amp;ROUNDUP(MONTH(B5)/3,0))</f>
        <v/>
      </c>
      <c r="D5" s="20" t="inlineStr">
        <is>
          <t>ค่าคอม</t>
        </is>
      </c>
      <c r="E5" s="20" t="inlineStr">
        <is>
          <t>คอมเซลล์ Plus</t>
        </is>
      </c>
      <c r="F5" s="20" t="inlineStr">
        <is>
          <t>ทีมขาย</t>
        </is>
      </c>
      <c r="G5" s="18" t="inlineStr">
        <is>
          <t>Variable</t>
        </is>
      </c>
      <c r="H5" s="20" t="inlineStr">
        <is>
          <t>ต่อดีล</t>
        </is>
      </c>
      <c r="I5" s="21" t="n">
        <v>0</v>
      </c>
      <c r="J5" s="21" t="n">
        <v>0</v>
      </c>
      <c r="K5" s="21">
        <f>IFERROR(I5*J5,0)</f>
        <v/>
      </c>
      <c r="L5" s="20" t="inlineStr"/>
    </row>
    <row r="6">
      <c r="A6" s="14">
        <f>IF(B6="","",ROW()-3)</f>
        <v/>
      </c>
      <c r="B6" s="15" t="n"/>
      <c r="C6" s="14">
        <f>IF(B6="","","Q"&amp;ROUNDUP(MONTH(B6)/3,0))</f>
        <v/>
      </c>
      <c r="D6" s="16" t="inlineStr">
        <is>
          <t>ค่าคอม</t>
        </is>
      </c>
      <c r="E6" s="16" t="inlineStr">
        <is>
          <t>คอมเซลล์ Premium</t>
        </is>
      </c>
      <c r="F6" s="16" t="inlineStr">
        <is>
          <t>ทีมขาย</t>
        </is>
      </c>
      <c r="G6" s="14" t="inlineStr">
        <is>
          <t>Variable</t>
        </is>
      </c>
      <c r="H6" s="16" t="inlineStr">
        <is>
          <t>ต่อดีล</t>
        </is>
      </c>
      <c r="I6" s="17" t="n">
        <v>0</v>
      </c>
      <c r="J6" s="17" t="n">
        <v>0</v>
      </c>
      <c r="K6" s="17">
        <f>IFERROR(I6*J6,0)</f>
        <v/>
      </c>
      <c r="L6" s="16" t="inlineStr"/>
    </row>
    <row r="7">
      <c r="A7" s="18">
        <f>IF(B7="","",ROW()-3)</f>
        <v/>
      </c>
      <c r="B7" s="19" t="n"/>
      <c r="C7" s="18">
        <f>IF(B7="","","Q"&amp;ROUNDUP(MONTH(B7)/3,0))</f>
        <v/>
      </c>
      <c r="D7" s="20" t="inlineStr">
        <is>
          <t>ค่าคอม</t>
        </is>
      </c>
      <c r="E7" s="20" t="inlineStr">
        <is>
          <t>คอมเซลล์ Enterprise</t>
        </is>
      </c>
      <c r="F7" s="20" t="inlineStr">
        <is>
          <t>ทีมขาย</t>
        </is>
      </c>
      <c r="G7" s="18" t="inlineStr">
        <is>
          <t>Variable</t>
        </is>
      </c>
      <c r="H7" s="20" t="inlineStr">
        <is>
          <t>ต่อดีล</t>
        </is>
      </c>
      <c r="I7" s="21" t="n">
        <v>0</v>
      </c>
      <c r="J7" s="21" t="n">
        <v>0</v>
      </c>
      <c r="K7" s="21">
        <f>IFERROR(I7*J7,0)</f>
        <v/>
      </c>
      <c r="L7" s="20" t="inlineStr"/>
    </row>
    <row r="8">
      <c r="A8" s="14">
        <f>IF(B8="","",ROW()-3)</f>
        <v/>
      </c>
      <c r="B8" s="15" t="n"/>
      <c r="C8" s="14">
        <f>IF(B8="","","Q"&amp;ROUNDUP(MONTH(B8)/3,0))</f>
        <v/>
      </c>
      <c r="D8" s="16" t="inlineStr">
        <is>
          <t>LINE API</t>
        </is>
      </c>
      <c r="E8" s="16" t="inlineStr">
        <is>
          <t>LINE Push Message</t>
        </is>
      </c>
      <c r="F8" s="16" t="inlineStr">
        <is>
          <t>LINE</t>
        </is>
      </c>
      <c r="G8" s="14" t="inlineStr">
        <is>
          <t>Variable</t>
        </is>
      </c>
      <c r="H8" s="16" t="inlineStr">
        <is>
          <t>ต่อข้อความ</t>
        </is>
      </c>
      <c r="I8" s="17" t="n">
        <v>0</v>
      </c>
      <c r="J8" s="17" t="n">
        <v>0.15</v>
      </c>
      <c r="K8" s="17">
        <f>IFERROR(I8*J8,0)</f>
        <v/>
      </c>
      <c r="L8" s="16" t="inlineStr">
        <is>
          <t>Premium ~0.15 บาท/msg</t>
        </is>
      </c>
    </row>
    <row r="9">
      <c r="A9" s="18">
        <f>IF(B9="","",ROW()-3)</f>
        <v/>
      </c>
      <c r="B9" s="19" t="n"/>
      <c r="C9" s="18">
        <f>IF(B9="","","Q"&amp;ROUNDUP(MONTH(B9)/3,0))</f>
        <v/>
      </c>
      <c r="D9" s="20" t="inlineStr">
        <is>
          <t>LINE API</t>
        </is>
      </c>
      <c r="E9" s="20" t="inlineStr">
        <is>
          <t>LINE Broadcast</t>
        </is>
      </c>
      <c r="F9" s="20" t="inlineStr">
        <is>
          <t>LINE</t>
        </is>
      </c>
      <c r="G9" s="18" t="inlineStr">
        <is>
          <t>Variable</t>
        </is>
      </c>
      <c r="H9" s="20" t="inlineStr">
        <is>
          <t>ต่อข้อความ</t>
        </is>
      </c>
      <c r="I9" s="21" t="n">
        <v>0</v>
      </c>
      <c r="J9" s="21" t="n">
        <v>0.15</v>
      </c>
      <c r="K9" s="21">
        <f>IFERROR(I9*J9,0)</f>
        <v/>
      </c>
      <c r="L9" s="20" t="inlineStr"/>
    </row>
    <row r="10">
      <c r="A10" s="14">
        <f>IF(B10="","",ROW()-3)</f>
        <v/>
      </c>
      <c r="B10" s="15" t="n"/>
      <c r="C10" s="14">
        <f>IF(B10="","","Q"&amp;ROUNDUP(MONTH(B10)/3,0))</f>
        <v/>
      </c>
      <c r="D10" s="16" t="inlineStr">
        <is>
          <t>LINE API</t>
        </is>
      </c>
      <c r="E10" s="16" t="inlineStr">
        <is>
          <t>LINE OA Premium plan</t>
        </is>
      </c>
      <c r="F10" s="16" t="inlineStr">
        <is>
          <t>LINE</t>
        </is>
      </c>
      <c r="G10" s="14" t="inlineStr">
        <is>
          <t>Fixed</t>
        </is>
      </c>
      <c r="H10" s="16" t="inlineStr">
        <is>
          <t>รายเดือน</t>
        </is>
      </c>
      <c r="I10" s="17" t="n">
        <v>1</v>
      </c>
      <c r="J10" s="17" t="n">
        <v>1200</v>
      </c>
      <c r="K10" s="17">
        <f>IFERROR(I10*J10,0)</f>
        <v/>
      </c>
      <c r="L10" s="16" t="inlineStr">
        <is>
          <t>เลือกแผนตามจริง</t>
        </is>
      </c>
    </row>
    <row r="11" ht="20" customHeight="1">
      <c r="A11" s="18">
        <f>IF(B11="","",ROW()-3)</f>
        <v/>
      </c>
      <c r="B11" s="9" t="n"/>
      <c r="C11" s="10" t="n"/>
      <c r="D11" s="20" t="inlineStr">
        <is>
          <t>EasySlip</t>
        </is>
      </c>
      <c r="E11" s="10" t="n"/>
      <c r="F11" s="20" t="inlineStr">
        <is>
          <t>Kbank</t>
        </is>
      </c>
      <c r="G11" s="18" t="inlineStr">
        <is>
          <t>Variable</t>
        </is>
      </c>
      <c r="H11" s="10" t="n"/>
      <c r="I11" s="21" t="n">
        <v>0</v>
      </c>
      <c r="J11" s="10" t="n"/>
      <c r="K11" s="21">
        <f>IFERROR(I11*J11,0)</f>
        <v/>
      </c>
      <c r="L11" s="20" t="inlineStr">
        <is>
          <t>ม.ค. 2569 อัตราคงที่ 0.04 บาท</t>
        </is>
      </c>
    </row>
    <row r="12" ht="20" customHeight="1">
      <c r="A12" s="14">
        <f>IF(B12="","",ROW()-3)</f>
        <v/>
      </c>
      <c r="B12" s="15" t="n"/>
      <c r="C12" s="14">
        <f>IF(B12="","","Q"&amp;ROUNDUP(MONTH(B12)/3,0))</f>
        <v/>
      </c>
      <c r="D12" s="16" t="inlineStr">
        <is>
          <t>EasySlip</t>
        </is>
      </c>
      <c r="E12" s="16" t="inlineStr">
        <is>
          <t>ต่างธนาคาร (Others)</t>
        </is>
      </c>
      <c r="F12" s="16" t="inlineStr">
        <is>
          <t>Kbank</t>
        </is>
      </c>
      <c r="G12" s="14" t="inlineStr">
        <is>
          <t>Variable</t>
        </is>
      </c>
      <c r="H12" s="16" t="inlineStr">
        <is>
          <t>ต่อสลิป</t>
        </is>
      </c>
      <c r="I12" s="17" t="n">
        <v>0</v>
      </c>
      <c r="J12" s="17" t="n">
        <v>0.11</v>
      </c>
      <c r="K12" s="17">
        <f>IFERROR(I12*J12,0)</f>
        <v/>
      </c>
      <c r="L12" s="16" t="inlineStr">
        <is>
          <t>อัตราคงที่ 0.11 บาท/สลิป</t>
        </is>
      </c>
    </row>
    <row r="13">
      <c r="A13" s="18">
        <f>IF(B13="","",ROW()-3)</f>
        <v/>
      </c>
      <c r="B13" s="19" t="n"/>
      <c r="C13" s="18">
        <f>IF(B13="","","Q"&amp;ROUNDUP(MONTH(B13)/3,0))</f>
        <v/>
      </c>
      <c r="D13" s="20" t="inlineStr">
        <is>
          <t>EasySlip</t>
        </is>
      </c>
      <c r="E13" s="20" t="inlineStr">
        <is>
          <t>EasySlip API (in-house)</t>
        </is>
      </c>
      <c r="F13" s="20" t="inlineStr">
        <is>
          <t>EasySlip</t>
        </is>
      </c>
      <c r="G13" s="18" t="inlineStr">
        <is>
          <t>Variable</t>
        </is>
      </c>
      <c r="H13" s="20" t="inlineStr">
        <is>
          <t>ต่อสลิป</t>
        </is>
      </c>
      <c r="I13" s="21" t="n">
        <v>0</v>
      </c>
      <c r="J13" s="21" t="n">
        <v>0</v>
      </c>
      <c r="K13" s="21">
        <f>IFERROR(I13*J13,0)</f>
        <v/>
      </c>
      <c r="L13" s="20" t="inlineStr">
        <is>
          <t>ใส่ต้นทุนภายในถ้ามี</t>
        </is>
      </c>
    </row>
    <row r="14">
      <c r="A14" s="14">
        <f>IF(B14="","",ROW()-3)</f>
        <v/>
      </c>
      <c r="B14" s="15" t="n"/>
      <c r="C14" s="14">
        <f>IF(B14="","","Q"&amp;ROUNDUP(MONTH(B14)/3,0))</f>
        <v/>
      </c>
      <c r="D14" s="16" t="inlineStr">
        <is>
          <t>Hosting</t>
        </is>
      </c>
      <c r="E14" s="16" t="inlineStr">
        <is>
          <t>Frontend Hosting</t>
        </is>
      </c>
      <c r="F14" s="16" t="inlineStr">
        <is>
          <t>Vercel</t>
        </is>
      </c>
      <c r="G14" s="14" t="inlineStr">
        <is>
          <t>Fixed</t>
        </is>
      </c>
      <c r="H14" s="16" t="inlineStr">
        <is>
          <t>รายเดือน</t>
        </is>
      </c>
      <c r="I14" s="17" t="n">
        <v>1</v>
      </c>
      <c r="J14" s="17" t="n">
        <v>0</v>
      </c>
      <c r="K14" s="17">
        <f>IFERROR(I14*J14,0)</f>
        <v/>
      </c>
      <c r="L14" s="16" t="inlineStr">
        <is>
          <t>easycrm-two.vercel.app</t>
        </is>
      </c>
    </row>
    <row r="15">
      <c r="A15" s="18">
        <f>IF(B15="","",ROW()-3)</f>
        <v/>
      </c>
      <c r="B15" s="19" t="n"/>
      <c r="C15" s="18">
        <f>IF(B15="","","Q"&amp;ROUNDUP(MONTH(B15)/3,0))</f>
        <v/>
      </c>
      <c r="D15" s="20" t="inlineStr">
        <is>
          <t>Hosting</t>
        </is>
      </c>
      <c r="E15" s="20" t="inlineStr">
        <is>
          <t>Database</t>
        </is>
      </c>
      <c r="F15" s="20" t="inlineStr">
        <is>
          <t>Supabase/Vercel</t>
        </is>
      </c>
      <c r="G15" s="18" t="inlineStr">
        <is>
          <t>Fixed</t>
        </is>
      </c>
      <c r="H15" s="20" t="inlineStr">
        <is>
          <t>รายเดือน</t>
        </is>
      </c>
      <c r="I15" s="21" t="n">
        <v>1</v>
      </c>
      <c r="J15" s="21" t="n">
        <v>0</v>
      </c>
      <c r="K15" s="21">
        <f>IFERROR(I15*J15,0)</f>
        <v/>
      </c>
      <c r="L15" s="20" t="inlineStr"/>
    </row>
    <row r="16">
      <c r="A16" s="14">
        <f>IF(B16="","",ROW()-3)</f>
        <v/>
      </c>
      <c r="B16" s="15" t="n"/>
      <c r="C16" s="14">
        <f>IF(B16="","","Q"&amp;ROUNDUP(MONTH(B16)/3,0))</f>
        <v/>
      </c>
      <c r="D16" s="16" t="inlineStr">
        <is>
          <t>Hosting</t>
        </is>
      </c>
      <c r="E16" s="16" t="inlineStr">
        <is>
          <t>Object Storage</t>
        </is>
      </c>
      <c r="F16" s="16" t="inlineStr">
        <is>
          <t>S3/R2</t>
        </is>
      </c>
      <c r="G16" s="14" t="inlineStr">
        <is>
          <t>Variable</t>
        </is>
      </c>
      <c r="H16" s="16" t="inlineStr">
        <is>
          <t>รายเดือน</t>
        </is>
      </c>
      <c r="I16" s="17" t="n">
        <v>1</v>
      </c>
      <c r="J16" s="17" t="n">
        <v>0</v>
      </c>
      <c r="K16" s="17">
        <f>IFERROR(I16*J16,0)</f>
        <v/>
      </c>
      <c r="L16" s="16" t="inlineStr">
        <is>
          <t>รูปสลิป/ใบเสร็จ</t>
        </is>
      </c>
    </row>
    <row r="17">
      <c r="A17" s="18">
        <f>IF(B17="","",ROW()-3)</f>
        <v/>
      </c>
      <c r="B17" s="19" t="n"/>
      <c r="C17" s="18">
        <f>IF(B17="","","Q"&amp;ROUNDUP(MONTH(B17)/3,0))</f>
        <v/>
      </c>
      <c r="D17" s="20" t="inlineStr">
        <is>
          <t>Hosting</t>
        </is>
      </c>
      <c r="E17" s="20" t="inlineStr">
        <is>
          <t>Domain easy-crm.co</t>
        </is>
      </c>
      <c r="F17" s="20" t="inlineStr">
        <is>
          <t>Registrar</t>
        </is>
      </c>
      <c r="G17" s="18" t="inlineStr">
        <is>
          <t>Fixed</t>
        </is>
      </c>
      <c r="H17" s="20" t="inlineStr">
        <is>
          <t>รายปี / 12</t>
        </is>
      </c>
      <c r="I17" s="21" t="n">
        <v>1</v>
      </c>
      <c r="J17" s="21" t="n">
        <v>0</v>
      </c>
      <c r="K17" s="21">
        <f>IFERROR(I17*J17,0)</f>
        <v/>
      </c>
      <c r="L17" s="20" t="inlineStr">
        <is>
          <t>ราคาทั้งปี ÷ 12</t>
        </is>
      </c>
    </row>
    <row r="18">
      <c r="A18" s="14">
        <f>IF(B18="","",ROW()-3)</f>
        <v/>
      </c>
      <c r="B18" s="15" t="n"/>
      <c r="C18" s="14">
        <f>IF(B18="","","Q"&amp;ROUNDUP(MONTH(B18)/3,0))</f>
        <v/>
      </c>
      <c r="D18" s="16" t="inlineStr">
        <is>
          <t>Hosting</t>
        </is>
      </c>
      <c r="E18" s="16" t="inlineStr">
        <is>
          <t>Email Transactional</t>
        </is>
      </c>
      <c r="F18" s="16" t="inlineStr">
        <is>
          <t>Resend/SES</t>
        </is>
      </c>
      <c r="G18" s="14" t="inlineStr">
        <is>
          <t>Variable</t>
        </is>
      </c>
      <c r="H18" s="16" t="inlineStr">
        <is>
          <t>รายเดือน</t>
        </is>
      </c>
      <c r="I18" s="17" t="n">
        <v>1</v>
      </c>
      <c r="J18" s="17" t="n">
        <v>0</v>
      </c>
      <c r="K18" s="17">
        <f>IFERROR(I18*J18,0)</f>
        <v/>
      </c>
      <c r="L18" s="16" t="inlineStr"/>
    </row>
    <row r="19">
      <c r="A19" s="18">
        <f>IF(B19="","",ROW()-3)</f>
        <v/>
      </c>
      <c r="B19" s="19" t="n"/>
      <c r="C19" s="18">
        <f>IF(B19="","","Q"&amp;ROUNDUP(MONTH(B19)/3,0))</f>
        <v/>
      </c>
      <c r="D19" s="20" t="inlineStr">
        <is>
          <t>Hosting</t>
        </is>
      </c>
      <c r="E19" s="20" t="inlineStr">
        <is>
          <t>Monitoring / Backup</t>
        </is>
      </c>
      <c r="F19" s="20" t="inlineStr">
        <is>
          <t>-</t>
        </is>
      </c>
      <c r="G19" s="18" t="inlineStr">
        <is>
          <t>Fixed</t>
        </is>
      </c>
      <c r="H19" s="20" t="inlineStr">
        <is>
          <t>รายเดือน</t>
        </is>
      </c>
      <c r="I19" s="21" t="n">
        <v>1</v>
      </c>
      <c r="J19" s="21" t="n">
        <v>0</v>
      </c>
      <c r="K19" s="21">
        <f>IFERROR(I19*J19,0)</f>
        <v/>
      </c>
      <c r="L19" s="20" t="inlineStr"/>
    </row>
    <row r="20">
      <c r="A20" s="14">
        <f>IF(B20="","",ROW()-3)</f>
        <v/>
      </c>
      <c r="B20" s="15" t="n"/>
      <c r="C20" s="14">
        <f>IF(B20="","","Q"&amp;ROUNDUP(MONTH(B20)/3,0))</f>
        <v/>
      </c>
      <c r="D20" s="16" t="inlineStr">
        <is>
          <t>ทีม</t>
        </is>
      </c>
      <c r="E20" s="16" t="inlineStr">
        <is>
          <t>Admin Support / Onboarding</t>
        </is>
      </c>
      <c r="F20" s="16" t="inlineStr">
        <is>
          <t>ภายใน</t>
        </is>
      </c>
      <c r="G20" s="14" t="inlineStr">
        <is>
          <t>Fixed</t>
        </is>
      </c>
      <c r="H20" s="16" t="inlineStr">
        <is>
          <t>รายเดือน</t>
        </is>
      </c>
      <c r="I20" s="17" t="n">
        <v>0</v>
      </c>
      <c r="J20" s="17" t="n">
        <v>0</v>
      </c>
      <c r="K20" s="17">
        <f>IFERROR(I20*J20,0)</f>
        <v/>
      </c>
      <c r="L20" s="16" t="inlineStr">
        <is>
          <t>เงินเดือน × จำนวนคน</t>
        </is>
      </c>
    </row>
    <row r="21">
      <c r="A21" s="18">
        <f>IF(B21="","",ROW()-3)</f>
        <v/>
      </c>
      <c r="B21" s="19" t="n"/>
      <c r="C21" s="18">
        <f>IF(B21="","","Q"&amp;ROUNDUP(MONTH(B21)/3,0))</f>
        <v/>
      </c>
      <c r="D21" s="20" t="inlineStr">
        <is>
          <t>ทีม</t>
        </is>
      </c>
      <c r="E21" s="20" t="inlineStr">
        <is>
          <t>Designer</t>
        </is>
      </c>
      <c r="F21" s="20" t="inlineStr">
        <is>
          <t>ภายใน</t>
        </is>
      </c>
      <c r="G21" s="18" t="inlineStr">
        <is>
          <t>Fixed</t>
        </is>
      </c>
      <c r="H21" s="20" t="inlineStr">
        <is>
          <t>รายเดือน</t>
        </is>
      </c>
      <c r="I21" s="21" t="n">
        <v>0</v>
      </c>
      <c r="J21" s="21" t="n">
        <v>0</v>
      </c>
      <c r="K21" s="21">
        <f>IFERROR(I21*J21,0)</f>
        <v/>
      </c>
      <c r="L21" s="20" t="inlineStr"/>
    </row>
    <row r="22">
      <c r="A22" s="14">
        <f>IF(B22="","",ROW()-3)</f>
        <v/>
      </c>
      <c r="B22" s="15" t="n"/>
      <c r="C22" s="14">
        <f>IF(B22="","","Q"&amp;ROUNDUP(MONTH(B22)/3,0))</f>
        <v/>
      </c>
      <c r="D22" s="16" t="inlineStr">
        <is>
          <t>ทีม</t>
        </is>
      </c>
      <c r="E22" s="16" t="inlineStr">
        <is>
          <t>Tech / Dev support</t>
        </is>
      </c>
      <c r="F22" s="16" t="inlineStr">
        <is>
          <t>ภายใน</t>
        </is>
      </c>
      <c r="G22" s="14" t="inlineStr">
        <is>
          <t>Fixed</t>
        </is>
      </c>
      <c r="H22" s="16" t="inlineStr">
        <is>
          <t>รายเดือน</t>
        </is>
      </c>
      <c r="I22" s="17" t="n">
        <v>0</v>
      </c>
      <c r="J22" s="17" t="n">
        <v>0</v>
      </c>
      <c r="K22" s="17">
        <f>IFERROR(I22*J22,0)</f>
        <v/>
      </c>
      <c r="L22" s="16" t="inlineStr"/>
    </row>
    <row r="23">
      <c r="A23" s="18">
        <f>IF(B23="","",ROW()-3)</f>
        <v/>
      </c>
      <c r="B23" s="19" t="n"/>
      <c r="C23" s="18">
        <f>IF(B23="","","Q"&amp;ROUNDUP(MONTH(B23)/3,0))</f>
        <v/>
      </c>
      <c r="D23" s="20" t="inlineStr">
        <is>
          <t>ทีม</t>
        </is>
      </c>
      <c r="E23" s="20" t="inlineStr">
        <is>
          <t>PM / Product Owner</t>
        </is>
      </c>
      <c r="F23" s="20" t="inlineStr">
        <is>
          <t>ภายใน</t>
        </is>
      </c>
      <c r="G23" s="18" t="inlineStr">
        <is>
          <t>Fixed</t>
        </is>
      </c>
      <c r="H23" s="20" t="inlineStr">
        <is>
          <t>รายเดือน</t>
        </is>
      </c>
      <c r="I23" s="21" t="n">
        <v>0</v>
      </c>
      <c r="J23" s="21" t="n">
        <v>0</v>
      </c>
      <c r="K23" s="21">
        <f>IFERROR(I23*J23,0)</f>
        <v/>
      </c>
      <c r="L23" s="20" t="inlineStr"/>
    </row>
    <row r="24">
      <c r="A24" s="14">
        <f>IF(B24="","",ROW()-3)</f>
        <v/>
      </c>
      <c r="B24" s="15" t="n"/>
      <c r="C24" s="14">
        <f>IF(B24="","","Q"&amp;ROUNDUP(MONTH(B24)/3,0))</f>
        <v/>
      </c>
      <c r="D24" s="16" t="inlineStr">
        <is>
          <t>ทีม</t>
        </is>
      </c>
      <c r="E24" s="16" t="inlineStr">
        <is>
          <t>Sales (fixed)</t>
        </is>
      </c>
      <c r="F24" s="16" t="inlineStr">
        <is>
          <t>ภายใน</t>
        </is>
      </c>
      <c r="G24" s="14" t="inlineStr">
        <is>
          <t>Fixed</t>
        </is>
      </c>
      <c r="H24" s="16" t="inlineStr">
        <is>
          <t>รายเดือน</t>
        </is>
      </c>
      <c r="I24" s="17" t="n">
        <v>0</v>
      </c>
      <c r="J24" s="17" t="n">
        <v>0</v>
      </c>
      <c r="K24" s="17">
        <f>IFERROR(I24*J24,0)</f>
        <v/>
      </c>
      <c r="L24" s="16" t="inlineStr">
        <is>
          <t>ส่วนค่าคอมมิชชันรวมอยู่หมวด ค่าคอม</t>
        </is>
      </c>
    </row>
    <row r="25">
      <c r="A25" s="18">
        <f>IF(B25="","",ROW()-3)</f>
        <v/>
      </c>
      <c r="B25" s="19" t="n"/>
      <c r="C25" s="18">
        <f>IF(B25="","","Q"&amp;ROUNDUP(MONTH(B25)/3,0))</f>
        <v/>
      </c>
      <c r="D25" s="20" t="inlineStr">
        <is>
          <t>อื่นๆ</t>
        </is>
      </c>
      <c r="E25" s="20" t="inlineStr">
        <is>
          <t>Marketing / Ads</t>
        </is>
      </c>
      <c r="F25" s="20" t="inlineStr">
        <is>
          <t>หลายราย</t>
        </is>
      </c>
      <c r="G25" s="18" t="inlineStr">
        <is>
          <t>Variable</t>
        </is>
      </c>
      <c r="H25" s="20" t="inlineStr">
        <is>
          <t>รายเดือน</t>
        </is>
      </c>
      <c r="I25" s="21" t="n">
        <v>1</v>
      </c>
      <c r="J25" s="21" t="n">
        <v>0</v>
      </c>
      <c r="K25" s="21">
        <f>IFERROR(I25*J25,0)</f>
        <v/>
      </c>
      <c r="L25" s="20" t="inlineStr"/>
    </row>
    <row r="26">
      <c r="A26" s="14">
        <f>IF(B26="","",ROW()-3)</f>
        <v/>
      </c>
      <c r="B26" s="15" t="n"/>
      <c r="C26" s="14">
        <f>IF(B26="","","Q"&amp;ROUNDUP(MONTH(B26)/3,0))</f>
        <v/>
      </c>
      <c r="D26" s="16" t="inlineStr">
        <is>
          <t>อื่นๆ</t>
        </is>
      </c>
      <c r="E26" s="16" t="inlineStr">
        <is>
          <t>Tools / SaaS</t>
        </is>
      </c>
      <c r="F26" s="16" t="inlineStr">
        <is>
          <t>Notion/Slack/etc</t>
        </is>
      </c>
      <c r="G26" s="14" t="inlineStr">
        <is>
          <t>Fixed</t>
        </is>
      </c>
      <c r="H26" s="16" t="inlineStr">
        <is>
          <t>รายเดือน</t>
        </is>
      </c>
      <c r="I26" s="17" t="n">
        <v>1</v>
      </c>
      <c r="J26" s="17" t="n">
        <v>0</v>
      </c>
      <c r="K26" s="17">
        <f>IFERROR(I26*J26,0)</f>
        <v/>
      </c>
      <c r="L26" s="16" t="inlineStr"/>
    </row>
    <row r="27">
      <c r="A27" s="18">
        <f>IF(B27="","",ROW()-3)</f>
        <v/>
      </c>
      <c r="B27" s="19" t="n"/>
      <c r="C27" s="18">
        <f>IF(B27="","","Q"&amp;ROUNDUP(MONTH(B27)/3,0))</f>
        <v/>
      </c>
      <c r="D27" s="20" t="inlineStr">
        <is>
          <t>อื่นๆ</t>
        </is>
      </c>
      <c r="E27" s="20" t="inlineStr">
        <is>
          <t>Payment Gateway fee</t>
        </is>
      </c>
      <c r="F27" s="20" t="inlineStr">
        <is>
          <t>Stripe/Omise</t>
        </is>
      </c>
      <c r="G27" s="18" t="inlineStr">
        <is>
          <t>Variable</t>
        </is>
      </c>
      <c r="H27" s="20" t="inlineStr">
        <is>
          <t>% ของยอด</t>
        </is>
      </c>
      <c r="I27" s="21" t="n">
        <v>0</v>
      </c>
      <c r="J27" s="21" t="n">
        <v>0</v>
      </c>
      <c r="K27" s="21">
        <f>IFERROR(I27*J27,0)</f>
        <v/>
      </c>
      <c r="L27" s="20" t="inlineStr">
        <is>
          <t>กรณีมี recurring billing</t>
        </is>
      </c>
    </row>
    <row r="28">
      <c r="A28" s="14">
        <f>IF(B28="","",ROW()-3)</f>
        <v/>
      </c>
      <c r="B28" s="15" t="n"/>
      <c r="C28" s="14">
        <f>IF(B28="","","Q"&amp;ROUNDUP(MONTH(B28)/3,0))</f>
        <v/>
      </c>
      <c r="D28" s="16" t="inlineStr">
        <is>
          <t>อื่นๆ</t>
        </is>
      </c>
      <c r="E28" s="16" t="inlineStr">
        <is>
          <t>ค่าใช้จ่ายเบ็ดเตล็ด</t>
        </is>
      </c>
      <c r="F28" s="16" t="inlineStr">
        <is>
          <t>-</t>
        </is>
      </c>
      <c r="G28" s="14" t="inlineStr">
        <is>
          <t>Variable</t>
        </is>
      </c>
      <c r="H28" s="16" t="inlineStr">
        <is>
          <t>รายเดือน</t>
        </is>
      </c>
      <c r="I28" s="17" t="n">
        <v>1</v>
      </c>
      <c r="J28" s="17" t="n">
        <v>0</v>
      </c>
      <c r="K28" s="17">
        <f>IFERROR(I28*J28,0)</f>
        <v/>
      </c>
      <c r="L28" s="16" t="inlineStr"/>
    </row>
    <row r="29">
      <c r="A29" s="18">
        <f>IF(B29="","",ROW()-3)</f>
        <v/>
      </c>
      <c r="B29" s="19" t="n"/>
      <c r="C29" s="18">
        <f>IF(B29="","","Q"&amp;ROUNDUP(MONTH(B29)/3,0))</f>
        <v/>
      </c>
      <c r="D29" s="20" t="n"/>
      <c r="E29" s="20" t="n"/>
      <c r="F29" s="20" t="n"/>
      <c r="G29" s="18" t="n"/>
      <c r="H29" s="20" t="n"/>
      <c r="I29" s="21" t="n"/>
      <c r="J29" s="21" t="n"/>
      <c r="K29" s="21">
        <f>IFERROR(I29*J29,0)</f>
        <v/>
      </c>
      <c r="L29" s="20" t="n"/>
    </row>
    <row r="30">
      <c r="A30" s="14">
        <f>IF(B30="","",ROW()-3)</f>
        <v/>
      </c>
      <c r="B30" s="15" t="n"/>
      <c r="C30" s="14">
        <f>IF(B30="","","Q"&amp;ROUNDUP(MONTH(B30)/3,0))</f>
        <v/>
      </c>
      <c r="D30" s="16" t="n"/>
      <c r="E30" s="16" t="n"/>
      <c r="F30" s="16" t="n"/>
      <c r="G30" s="14" t="n"/>
      <c r="H30" s="16" t="n"/>
      <c r="I30" s="17" t="n"/>
      <c r="J30" s="17" t="n"/>
      <c r="K30" s="17">
        <f>IFERROR(I30*J30,0)</f>
        <v/>
      </c>
      <c r="L30" s="16" t="n"/>
    </row>
    <row r="31">
      <c r="A31" s="18">
        <f>IF(B31="","",ROW()-3)</f>
        <v/>
      </c>
      <c r="B31" s="19" t="n"/>
      <c r="C31" s="18">
        <f>IF(B31="","","Q"&amp;ROUNDUP(MONTH(B31)/3,0))</f>
        <v/>
      </c>
      <c r="D31" s="20" t="n"/>
      <c r="E31" s="20" t="n"/>
      <c r="F31" s="20" t="n"/>
      <c r="G31" s="18" t="n"/>
      <c r="H31" s="20" t="n"/>
      <c r="I31" s="21" t="n"/>
      <c r="J31" s="21" t="n"/>
      <c r="K31" s="21">
        <f>IFERROR(I31*J31,0)</f>
        <v/>
      </c>
      <c r="L31" s="20" t="n"/>
    </row>
    <row r="32">
      <c r="A32" s="14">
        <f>IF(B32="","",ROW()-3)</f>
        <v/>
      </c>
      <c r="B32" s="15" t="n"/>
      <c r="C32" s="14">
        <f>IF(B32="","","Q"&amp;ROUNDUP(MONTH(B32)/3,0))</f>
        <v/>
      </c>
      <c r="D32" s="16" t="n"/>
      <c r="E32" s="16" t="n"/>
      <c r="F32" s="16" t="n"/>
      <c r="G32" s="14" t="n"/>
      <c r="H32" s="16" t="n"/>
      <c r="I32" s="17" t="n"/>
      <c r="J32" s="17" t="n"/>
      <c r="K32" s="17">
        <f>IFERROR(I32*J32,0)</f>
        <v/>
      </c>
      <c r="L32" s="16" t="n"/>
    </row>
    <row r="33">
      <c r="A33" s="18">
        <f>IF(B33="","",ROW()-3)</f>
        <v/>
      </c>
      <c r="B33" s="19" t="n"/>
      <c r="C33" s="18">
        <f>IF(B33="","","Q"&amp;ROUNDUP(MONTH(B33)/3,0))</f>
        <v/>
      </c>
      <c r="D33" s="20" t="n"/>
      <c r="E33" s="20" t="n"/>
      <c r="F33" s="20" t="n"/>
      <c r="G33" s="18" t="n"/>
      <c r="H33" s="20" t="n"/>
      <c r="I33" s="21" t="n"/>
      <c r="J33" s="21" t="n"/>
      <c r="K33" s="21">
        <f>IFERROR(I33*J33,0)</f>
        <v/>
      </c>
      <c r="L33" s="20" t="n"/>
    </row>
    <row r="34">
      <c r="A34" s="14">
        <f>IF(B34="","",ROW()-3)</f>
        <v/>
      </c>
      <c r="B34" s="15" t="n"/>
      <c r="C34" s="14">
        <f>IF(B34="","","Q"&amp;ROUNDUP(MONTH(B34)/3,0))</f>
        <v/>
      </c>
      <c r="D34" s="16" t="n"/>
      <c r="E34" s="16" t="n"/>
      <c r="F34" s="16" t="n"/>
      <c r="G34" s="14" t="n"/>
      <c r="H34" s="16" t="n"/>
      <c r="I34" s="17" t="n"/>
      <c r="J34" s="17" t="n"/>
      <c r="K34" s="17">
        <f>IFERROR(I34*J34,0)</f>
        <v/>
      </c>
      <c r="L34" s="16" t="n"/>
    </row>
    <row r="35">
      <c r="A35" s="18">
        <f>IF(B35="","",ROW()-3)</f>
        <v/>
      </c>
      <c r="B35" s="19" t="n"/>
      <c r="C35" s="18">
        <f>IF(B35="","","Q"&amp;ROUNDUP(MONTH(B35)/3,0))</f>
        <v/>
      </c>
      <c r="D35" s="20" t="n"/>
      <c r="E35" s="20" t="n"/>
      <c r="F35" s="20" t="n"/>
      <c r="G35" s="18" t="n"/>
      <c r="H35" s="20" t="n"/>
      <c r="I35" s="21" t="n"/>
      <c r="J35" s="21" t="n"/>
      <c r="K35" s="21">
        <f>IFERROR(I35*J35,0)</f>
        <v/>
      </c>
      <c r="L35" s="20" t="n"/>
    </row>
    <row r="36">
      <c r="A36" s="14">
        <f>IF(B36="","",ROW()-3)</f>
        <v/>
      </c>
      <c r="B36" s="15" t="n"/>
      <c r="C36" s="14">
        <f>IF(B36="","","Q"&amp;ROUNDUP(MONTH(B36)/3,0))</f>
        <v/>
      </c>
      <c r="D36" s="16" t="n"/>
      <c r="E36" s="16" t="n"/>
      <c r="F36" s="16" t="n"/>
      <c r="G36" s="14" t="n"/>
      <c r="H36" s="16" t="n"/>
      <c r="I36" s="17" t="n"/>
      <c r="J36" s="17" t="n"/>
      <c r="K36" s="17">
        <f>IFERROR(I36*J36,0)</f>
        <v/>
      </c>
      <c r="L36" s="16" t="n"/>
    </row>
    <row r="37">
      <c r="A37" s="18">
        <f>IF(B37="","",ROW()-3)</f>
        <v/>
      </c>
      <c r="B37" s="19" t="n"/>
      <c r="C37" s="18">
        <f>IF(B37="","","Q"&amp;ROUNDUP(MONTH(B37)/3,0))</f>
        <v/>
      </c>
      <c r="D37" s="20" t="n"/>
      <c r="E37" s="20" t="n"/>
      <c r="F37" s="20" t="n"/>
      <c r="G37" s="18" t="n"/>
      <c r="H37" s="20" t="n"/>
      <c r="I37" s="21" t="n"/>
      <c r="J37" s="21" t="n"/>
      <c r="K37" s="21">
        <f>IFERROR(I37*J37,0)</f>
        <v/>
      </c>
      <c r="L37" s="20" t="n"/>
    </row>
    <row r="38">
      <c r="A38" s="14">
        <f>IF(B38="","",ROW()-3)</f>
        <v/>
      </c>
      <c r="B38" s="15" t="n"/>
      <c r="C38" s="14">
        <f>IF(B38="","","Q"&amp;ROUNDUP(MONTH(B38)/3,0))</f>
        <v/>
      </c>
      <c r="D38" s="16" t="n"/>
      <c r="E38" s="16" t="n"/>
      <c r="F38" s="16" t="n"/>
      <c r="G38" s="14" t="n"/>
      <c r="H38" s="16" t="n"/>
      <c r="I38" s="17" t="n"/>
      <c r="J38" s="17" t="n"/>
      <c r="K38" s="17">
        <f>IFERROR(I38*J38,0)</f>
        <v/>
      </c>
      <c r="L38" s="16" t="n"/>
    </row>
    <row r="39">
      <c r="A39" s="18">
        <f>IF(B39="","",ROW()-3)</f>
        <v/>
      </c>
      <c r="B39" s="19" t="n"/>
      <c r="C39" s="18">
        <f>IF(B39="","","Q"&amp;ROUNDUP(MONTH(B39)/3,0))</f>
        <v/>
      </c>
      <c r="D39" s="20" t="n"/>
      <c r="E39" s="20" t="n"/>
      <c r="F39" s="20" t="n"/>
      <c r="G39" s="18" t="n"/>
      <c r="H39" s="20" t="n"/>
      <c r="I39" s="21" t="n"/>
      <c r="J39" s="21" t="n"/>
      <c r="K39" s="21">
        <f>IFERROR(I39*J39,0)</f>
        <v/>
      </c>
      <c r="L39" s="20" t="n"/>
    </row>
    <row r="40">
      <c r="A40" s="14">
        <f>IF(B40="","",ROW()-3)</f>
        <v/>
      </c>
      <c r="B40" s="15" t="n"/>
      <c r="C40" s="14">
        <f>IF(B40="","","Q"&amp;ROUNDUP(MONTH(B40)/3,0))</f>
        <v/>
      </c>
      <c r="D40" s="16" t="n"/>
      <c r="E40" s="16" t="n"/>
      <c r="F40" s="16" t="n"/>
      <c r="G40" s="14" t="n"/>
      <c r="H40" s="16" t="n"/>
      <c r="I40" s="17" t="n"/>
      <c r="J40" s="17" t="n"/>
      <c r="K40" s="17">
        <f>IFERROR(I40*J40,0)</f>
        <v/>
      </c>
      <c r="L40" s="16" t="n"/>
    </row>
    <row r="41">
      <c r="A41" s="18">
        <f>IF(B41="","",ROW()-3)</f>
        <v/>
      </c>
      <c r="B41" s="19" t="n"/>
      <c r="C41" s="18">
        <f>IF(B41="","","Q"&amp;ROUNDUP(MONTH(B41)/3,0))</f>
        <v/>
      </c>
      <c r="D41" s="20" t="n"/>
      <c r="E41" s="20" t="n"/>
      <c r="F41" s="20" t="n"/>
      <c r="G41" s="18" t="n"/>
      <c r="H41" s="20" t="n"/>
      <c r="I41" s="21" t="n"/>
      <c r="J41" s="21" t="n"/>
      <c r="K41" s="21">
        <f>IFERROR(I41*J41,0)</f>
        <v/>
      </c>
      <c r="L41" s="20" t="n"/>
    </row>
    <row r="42">
      <c r="A42" s="14">
        <f>IF(B42="","",ROW()-3)</f>
        <v/>
      </c>
      <c r="B42" s="15" t="n"/>
      <c r="C42" s="14">
        <f>IF(B42="","","Q"&amp;ROUNDUP(MONTH(B42)/3,0))</f>
        <v/>
      </c>
      <c r="D42" s="16" t="n"/>
      <c r="E42" s="16" t="n"/>
      <c r="F42" s="16" t="n"/>
      <c r="G42" s="14" t="n"/>
      <c r="H42" s="16" t="n"/>
      <c r="I42" s="17" t="n"/>
      <c r="J42" s="17" t="n"/>
      <c r="K42" s="17">
        <f>IFERROR(I42*J42,0)</f>
        <v/>
      </c>
      <c r="L42" s="16" t="n"/>
    </row>
    <row r="43">
      <c r="A43" s="18">
        <f>IF(B43="","",ROW()-3)</f>
        <v/>
      </c>
      <c r="B43" s="19" t="n"/>
      <c r="C43" s="18">
        <f>IF(B43="","","Q"&amp;ROUNDUP(MONTH(B43)/3,0))</f>
        <v/>
      </c>
      <c r="D43" s="20" t="n"/>
      <c r="E43" s="20" t="n"/>
      <c r="F43" s="20" t="n"/>
      <c r="G43" s="18" t="n"/>
      <c r="H43" s="20" t="n"/>
      <c r="I43" s="21" t="n"/>
      <c r="J43" s="21" t="n"/>
      <c r="K43" s="21">
        <f>IFERROR(I43*J43,0)</f>
        <v/>
      </c>
      <c r="L43" s="20" t="n"/>
    </row>
    <row r="45">
      <c r="A45" s="12" t="inlineStr">
        <is>
          <t>รวมต้นทุนจากตารางบันทึก / เดือน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10" t="n"/>
      <c r="K45" s="22">
        <f>SUM(K4:K43)</f>
        <v/>
      </c>
      <c r="L45" s="23" t="n"/>
    </row>
  </sheetData>
  <mergeCells count="5">
    <mergeCell ref="A11:C11"/>
    <mergeCell ref="D11:E11"/>
    <mergeCell ref="G11:H11"/>
    <mergeCell ref="I11:J11"/>
    <mergeCell ref="A54:J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6" customWidth="1" min="5" max="5"/>
    <col width="36" customWidth="1" min="6" max="6"/>
  </cols>
  <sheetData>
    <row r="1" ht="24" customHeight="1">
      <c r="A1" s="1" t="inlineStr">
        <is>
          <t>EASY
CRM</t>
        </is>
      </c>
      <c r="C1" s="2" t="inlineStr">
        <is>
          <t>COMMISSION COST</t>
        </is>
      </c>
    </row>
    <row r="2" ht="20" customHeight="1">
      <c r="C2" s="3" t="inlineStr">
        <is>
          <t>ค่าคอมมิชชั่นทีมขาย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แพ็กเกจ</t>
        </is>
      </c>
      <c r="C6" s="12" t="inlineStr">
        <is>
          <t>% / Rate</t>
        </is>
      </c>
      <c r="D6" s="12" t="inlineStr">
        <is>
          <t>จำนวน deal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คอมเซลล์ Starter</t>
        </is>
      </c>
      <c r="B7" s="16" t="inlineStr">
        <is>
          <t>Starter</t>
        </is>
      </c>
      <c r="C7" s="16" t="n">
        <v>0.1</v>
      </c>
      <c r="D7" s="16" t="n">
        <v>0</v>
      </c>
      <c r="E7" s="17">
        <f>C7*D7*0</f>
        <v/>
      </c>
      <c r="F7" s="16" t="inlineStr">
        <is>
          <t>อ้างอิง Commission-Sales-Team.xlsx</t>
        </is>
      </c>
    </row>
    <row r="8">
      <c r="A8" s="20" t="inlineStr">
        <is>
          <t>คอมเซลล์ Plus</t>
        </is>
      </c>
      <c r="B8" s="20" t="inlineStr">
        <is>
          <t>Plus</t>
        </is>
      </c>
      <c r="C8" s="20" t="n">
        <v>0.1</v>
      </c>
      <c r="D8" s="20" t="n">
        <v>0</v>
      </c>
      <c r="E8" s="21">
        <f>C8*D8*0</f>
        <v/>
      </c>
      <c r="F8" s="20" t="inlineStr"/>
    </row>
    <row r="9">
      <c r="A9" s="16" t="inlineStr">
        <is>
          <t>คอมเซลล์ Premium</t>
        </is>
      </c>
      <c r="B9" s="16" t="inlineStr">
        <is>
          <t>Premium</t>
        </is>
      </c>
      <c r="C9" s="16" t="n">
        <v>0.1</v>
      </c>
      <c r="D9" s="16" t="n">
        <v>0</v>
      </c>
      <c r="E9" s="17">
        <f>C9*D9*0</f>
        <v/>
      </c>
      <c r="F9" s="16" t="inlineStr"/>
    </row>
    <row r="10">
      <c r="A10" s="20" t="inlineStr">
        <is>
          <t>คอมเซลล์ Enterprise</t>
        </is>
      </c>
      <c r="B10" s="20" t="inlineStr">
        <is>
          <t>Enterprise</t>
        </is>
      </c>
      <c r="C10" s="20" t="n">
        <v>0.1</v>
      </c>
      <c r="D10" s="20" t="n">
        <v>0</v>
      </c>
      <c r="E10" s="21">
        <f>C10*D10*0</f>
        <v/>
      </c>
      <c r="F10" s="20" t="inlineStr"/>
    </row>
    <row r="11">
      <c r="A11" s="16" t="inlineStr">
        <is>
          <t>Bonus / Override</t>
        </is>
      </c>
      <c r="B11" s="16" t="inlineStr">
        <is>
          <t>-</t>
        </is>
      </c>
      <c r="C11" s="16" t="inlineStr"/>
      <c r="D11" s="16" t="n">
        <v>0</v>
      </c>
      <c r="E11" s="17" t="n">
        <v>0</v>
      </c>
      <c r="F11" s="16" t="inlineStr"/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24" customHeight="1">
      <c r="A1" s="1" t="inlineStr">
        <is>
          <t>EASY
CRM</t>
        </is>
      </c>
      <c r="C1" s="2" t="inlineStr">
        <is>
          <t>LINE MESSAGING API COST</t>
        </is>
      </c>
    </row>
    <row r="2" ht="20" customHeight="1">
      <c r="C2" s="3" t="inlineStr">
        <is>
          <t>ค่า LINE Messaging API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ปริมาณ (msg/เดือน)</t>
        </is>
      </c>
      <c r="C6" s="12" t="inlineStr">
        <is>
          <t>อัตรา (THB/msg)</t>
        </is>
      </c>
      <c r="D6" s="12" t="inlineStr">
        <is>
          <t>ส่วนลด/Bundle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LINE Push Message</t>
        </is>
      </c>
      <c r="B7" s="16" t="n">
        <v>0</v>
      </c>
      <c r="C7" s="16" t="n">
        <v>0.15</v>
      </c>
      <c r="D7" s="16" t="n">
        <v>0</v>
      </c>
      <c r="E7" s="17">
        <f>B7*C7-D7</f>
        <v/>
      </c>
      <c r="F7" s="16" t="inlineStr">
        <is>
          <t>Premium ~0.15 บาท/msg</t>
        </is>
      </c>
    </row>
    <row r="8">
      <c r="A8" s="20" t="inlineStr">
        <is>
          <t>LINE Broadcast</t>
        </is>
      </c>
      <c r="B8" s="20" t="n">
        <v>0</v>
      </c>
      <c r="C8" s="20" t="n">
        <v>0.15</v>
      </c>
      <c r="D8" s="20" t="n">
        <v>0</v>
      </c>
      <c r="E8" s="21">
        <f>B8*C8-D8</f>
        <v/>
      </c>
      <c r="F8" s="20" t="inlineStr"/>
    </row>
    <row r="9">
      <c r="A9" s="16" t="inlineStr">
        <is>
          <t>LINE Multicast</t>
        </is>
      </c>
      <c r="B9" s="16" t="n">
        <v>0</v>
      </c>
      <c r="C9" s="16" t="n">
        <v>0.15</v>
      </c>
      <c r="D9" s="16" t="n">
        <v>0</v>
      </c>
      <c r="E9" s="17">
        <f>B9*C9-D9</f>
        <v/>
      </c>
      <c r="F9" s="16" t="inlineStr"/>
    </row>
    <row r="10">
      <c r="A10" s="20" t="inlineStr">
        <is>
          <t>LINE OA Premium plan</t>
        </is>
      </c>
      <c r="B10" s="20" t="n">
        <v>1</v>
      </c>
      <c r="C10" s="20" t="n">
        <v>1200</v>
      </c>
      <c r="D10" s="20" t="n">
        <v>0</v>
      </c>
      <c r="E10" s="21">
        <f>B10*C10-D10</f>
        <v/>
      </c>
      <c r="F10" s="20" t="inlineStr">
        <is>
          <t>Premium ฿1,200/เดือน · หรือ Light/Basic</t>
        </is>
      </c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38" customWidth="1" min="6" max="6"/>
  </cols>
  <sheetData>
    <row r="1" ht="24" customHeight="1">
      <c r="A1" s="1" t="inlineStr">
        <is>
          <t>EASY
CRM</t>
        </is>
      </c>
      <c r="C1" s="2" t="inlineStr">
        <is>
          <t>EASYSLIP &amp; KBANK API COST</t>
        </is>
      </c>
    </row>
    <row r="2" ht="20" customHeight="1">
      <c r="C2" s="3" t="inlineStr">
        <is>
          <t>ค่าตรวจสลิป EasySlip + Kbank API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ปริมาณ (สลิป/เดือน)</t>
        </is>
      </c>
      <c r="C6" s="12" t="inlineStr">
        <is>
          <t>อัตรา (THB/สลิป)</t>
        </is>
      </c>
      <c r="D6" s="12" t="inlineStr">
        <is>
          <t>Source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สลิป Kbank (K2K)</t>
        </is>
      </c>
      <c r="B7" s="16" t="n">
        <v>0</v>
      </c>
      <c r="C7" s="16" t="n">
        <v>0.04</v>
      </c>
      <c r="D7" s="16" t="inlineStr">
        <is>
          <t>Kbank-source</t>
        </is>
      </c>
      <c r="E7" s="17">
        <f>B7*C7</f>
        <v/>
      </c>
      <c r="F7" s="16" t="inlineStr">
        <is>
          <t>ม.ค. 2569 flat 0.04 K2K</t>
        </is>
      </c>
    </row>
    <row r="8">
      <c r="A8" s="20" t="inlineStr">
        <is>
          <t>สลิป ต่างธนาคาร (Others)</t>
        </is>
      </c>
      <c r="B8" s="20" t="n">
        <v>0</v>
      </c>
      <c r="C8" s="20" t="n">
        <v>0.11</v>
      </c>
      <c r="D8" s="20" t="inlineStr">
        <is>
          <t>Other banks</t>
        </is>
      </c>
      <c r="E8" s="21">
        <f>B8*C8</f>
        <v/>
      </c>
      <c r="F8" s="20" t="inlineStr">
        <is>
          <t>flat 0.11 บาท/สลิป</t>
        </is>
      </c>
    </row>
    <row r="9">
      <c r="A9" s="16" t="inlineStr">
        <is>
          <t>EasySlip API call (in-house)</t>
        </is>
      </c>
      <c r="B9" s="16" t="n">
        <v>0</v>
      </c>
      <c r="C9" s="16" t="n">
        <v>0</v>
      </c>
      <c r="D9" s="16" t="inlineStr">
        <is>
          <t>internal</t>
        </is>
      </c>
      <c r="E9" s="17">
        <f>B9*C9</f>
        <v/>
      </c>
      <c r="F9" s="16" t="inlineStr">
        <is>
          <t>ใส่ต้นทุนจริงถ้ามี</t>
        </is>
      </c>
    </row>
    <row r="10">
      <c r="A10" s="20" t="inlineStr">
        <is>
          <t>ค่ารายเดือน EasySlip plan</t>
        </is>
      </c>
      <c r="B10" s="20" t="n">
        <v>1</v>
      </c>
      <c r="C10" s="20" t="n">
        <v>0</v>
      </c>
      <c r="D10" s="20" t="inlineStr">
        <is>
          <t>EasySlip</t>
        </is>
      </c>
      <c r="E10" s="21">
        <f>B10*C10</f>
        <v/>
      </c>
      <c r="F10" s="20" t="inlineStr">
        <is>
          <t>ถ้าคิดเป็นแพ็กเกจรายเดือน</t>
        </is>
      </c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4" customHeight="1">
      <c r="A1" s="1" t="inlineStr">
        <is>
          <t>EASY
CRM</t>
        </is>
      </c>
      <c r="C1" s="2" t="inlineStr">
        <is>
          <t>HOSTING &amp; INFRA COST</t>
        </is>
      </c>
    </row>
    <row r="2" ht="20" customHeight="1">
      <c r="C2" s="3" t="inlineStr">
        <is>
          <t>ค่า Hosting + Infra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ผู้ให้บริการ</t>
        </is>
      </c>
      <c r="C6" s="12" t="inlineStr">
        <is>
          <t>Plan</t>
        </is>
      </c>
      <c r="D6" s="12" t="inlineStr">
        <is>
          <t>ยอด/เดือน (THB)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Frontend Hosting</t>
        </is>
      </c>
      <c r="B7" s="16" t="inlineStr">
        <is>
          <t>Vercel</t>
        </is>
      </c>
      <c r="C7" s="16" t="inlineStr">
        <is>
          <t>Pro / Team</t>
        </is>
      </c>
      <c r="D7" s="16" t="n">
        <v>0</v>
      </c>
      <c r="E7" s="17">
        <f>D7</f>
        <v/>
      </c>
      <c r="F7" s="16" t="inlineStr">
        <is>
          <t>easycrm-two.vercel.app + subdomain</t>
        </is>
      </c>
    </row>
    <row r="8">
      <c r="A8" s="20" t="inlineStr">
        <is>
          <t>Database</t>
        </is>
      </c>
      <c r="B8" s="20" t="inlineStr">
        <is>
          <t>Vercel Postgres / Supabase</t>
        </is>
      </c>
      <c r="C8" s="20" t="inlineStr">
        <is>
          <t>-</t>
        </is>
      </c>
      <c r="D8" s="20" t="n">
        <v>0</v>
      </c>
      <c r="E8" s="21">
        <f>D8</f>
        <v/>
      </c>
      <c r="F8" s="20" t="inlineStr"/>
    </row>
    <row r="9">
      <c r="A9" s="16" t="inlineStr">
        <is>
          <t>Object Storage</t>
        </is>
      </c>
      <c r="B9" s="16" t="inlineStr">
        <is>
          <t>S3 / R2</t>
        </is>
      </c>
      <c r="C9" s="16" t="inlineStr">
        <is>
          <t>-</t>
        </is>
      </c>
      <c r="D9" s="16" t="n">
        <v>0</v>
      </c>
      <c r="E9" s="17">
        <f>D9</f>
        <v/>
      </c>
      <c r="F9" s="16" t="inlineStr">
        <is>
          <t>เก็บรูปสลิป/ใบเสร็จ</t>
        </is>
      </c>
    </row>
    <row r="10">
      <c r="A10" s="20" t="inlineStr">
        <is>
          <t>Domain easy-crm.co</t>
        </is>
      </c>
      <c r="B10" s="20" t="inlineStr">
        <is>
          <t>Registrar</t>
        </is>
      </c>
      <c r="C10" s="20" t="inlineStr">
        <is>
          <t>ต่ออายุปี/12</t>
        </is>
      </c>
      <c r="D10" s="20" t="n">
        <v>0</v>
      </c>
      <c r="E10" s="21">
        <f>D10</f>
        <v/>
      </c>
      <c r="F10" s="20" t="inlineStr">
        <is>
          <t>ราคา/เดือน = ค่าโดเมน ÷ 12</t>
        </is>
      </c>
    </row>
    <row r="11">
      <c r="A11" s="16" t="inlineStr">
        <is>
          <t>Backup / Monitoring</t>
        </is>
      </c>
      <c r="B11" s="16" t="inlineStr">
        <is>
          <t>-</t>
        </is>
      </c>
      <c r="C11" s="16" t="inlineStr">
        <is>
          <t>-</t>
        </is>
      </c>
      <c r="D11" s="16" t="n">
        <v>0</v>
      </c>
      <c r="E11" s="17">
        <f>D11</f>
        <v/>
      </c>
      <c r="F11" s="16" t="inlineStr"/>
    </row>
    <row r="12">
      <c r="A12" s="20" t="inlineStr">
        <is>
          <t>Email Transactional</t>
        </is>
      </c>
      <c r="B12" s="20" t="inlineStr">
        <is>
          <t>Resend / SES</t>
        </is>
      </c>
      <c r="C12" s="20" t="inlineStr">
        <is>
          <t>-</t>
        </is>
      </c>
      <c r="D12" s="20" t="n">
        <v>0</v>
      </c>
      <c r="E12" s="21">
        <f>D12</f>
        <v/>
      </c>
      <c r="F12" s="20" t="inlineStr"/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2" customWidth="1" min="4" max="4"/>
    <col width="16" customWidth="1" min="5" max="5"/>
    <col width="32" customWidth="1" min="6" max="6"/>
  </cols>
  <sheetData>
    <row r="1" ht="24" customHeight="1">
      <c r="A1" s="1" t="inlineStr">
        <is>
          <t>EASY
CRM</t>
        </is>
      </c>
      <c r="C1" s="2" t="inlineStr">
        <is>
          <t>TEAM COST</t>
        </is>
      </c>
    </row>
    <row r="2" ht="20" customHeight="1">
      <c r="C2" s="3" t="inlineStr">
        <is>
          <t>ค่าใช้จ่ายทีม (fixed)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ตำแหน่ง</t>
        </is>
      </c>
      <c r="B6" s="12" t="inlineStr">
        <is>
          <t>จำนวนคน</t>
        </is>
      </c>
      <c r="C6" s="12" t="inlineStr">
        <is>
          <t>เงินเดือน/คน (THB)</t>
        </is>
      </c>
      <c r="D6" s="12" t="inlineStr">
        <is>
          <t>สวัสดิการ/โบนัส/เดือน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Admin Support / Onboarding</t>
        </is>
      </c>
      <c r="B7" s="16" t="n">
        <v>0</v>
      </c>
      <c r="C7" s="16" t="n">
        <v>0</v>
      </c>
      <c r="D7" s="16" t="n">
        <v>0</v>
      </c>
      <c r="E7" s="17">
        <f>B7*C7+D7</f>
        <v/>
      </c>
      <c r="F7" s="16" t="inlineStr">
        <is>
          <t>อ้างอิง 06-Team-Roles-SOP</t>
        </is>
      </c>
    </row>
    <row r="8">
      <c r="A8" s="20" t="inlineStr">
        <is>
          <t>Designer (โควต้างานออกแบบ)</t>
        </is>
      </c>
      <c r="B8" s="20" t="n">
        <v>0</v>
      </c>
      <c r="C8" s="20" t="n">
        <v>0</v>
      </c>
      <c r="D8" s="20" t="n">
        <v>0</v>
      </c>
      <c r="E8" s="21">
        <f>B8*C8+D8</f>
        <v/>
      </c>
      <c r="F8" s="20" t="inlineStr"/>
    </row>
    <row r="9">
      <c r="A9" s="16" t="inlineStr">
        <is>
          <t>Tech / Dev support</t>
        </is>
      </c>
      <c r="B9" s="16" t="n">
        <v>0</v>
      </c>
      <c r="C9" s="16" t="n">
        <v>0</v>
      </c>
      <c r="D9" s="16" t="n">
        <v>0</v>
      </c>
      <c r="E9" s="17">
        <f>B9*C9+D9</f>
        <v/>
      </c>
      <c r="F9" s="16" t="inlineStr"/>
    </row>
    <row r="10">
      <c r="A10" s="20" t="inlineStr">
        <is>
          <t>PM / Product Owner</t>
        </is>
      </c>
      <c r="B10" s="20" t="n">
        <v>0</v>
      </c>
      <c r="C10" s="20" t="n">
        <v>0</v>
      </c>
      <c r="D10" s="20" t="n">
        <v>0</v>
      </c>
      <c r="E10" s="21">
        <f>B10*C10+D10</f>
        <v/>
      </c>
      <c r="F10" s="20" t="inlineStr"/>
    </row>
    <row r="11">
      <c r="A11" s="16" t="inlineStr">
        <is>
          <t>Sales (fixed)</t>
        </is>
      </c>
      <c r="B11" s="16" t="n">
        <v>0</v>
      </c>
      <c r="C11" s="16" t="n">
        <v>0</v>
      </c>
      <c r="D11" s="16" t="n">
        <v>0</v>
      </c>
      <c r="E11" s="17">
        <f>B11*C11+D11</f>
        <v/>
      </c>
      <c r="F11" s="16" t="inlineStr">
        <is>
          <t>คอมเซลล์อยู่ในชีต ค่าคอมเซลล์</t>
        </is>
      </c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8" customWidth="1" min="4" max="4"/>
    <col width="16" customWidth="1" min="5" max="5"/>
    <col width="32" customWidth="1" min="6" max="6"/>
  </cols>
  <sheetData>
    <row r="1" ht="24" customHeight="1">
      <c r="A1" s="1" t="inlineStr">
        <is>
          <t>EASY
CRM</t>
        </is>
      </c>
      <c r="C1" s="2" t="inlineStr">
        <is>
          <t>OTHER COST</t>
        </is>
      </c>
    </row>
    <row r="2" ht="20" customHeight="1">
      <c r="C2" s="3" t="inlineStr">
        <is>
          <t>รายการอื่นๆ · EasyCRM (บริษัท อีซี่สลิป จำกัด)</t>
        </is>
      </c>
    </row>
    <row r="4">
      <c r="A4" s="12" t="inlineStr">
        <is>
          <t>ยอดรวม (THB)</t>
        </is>
      </c>
      <c r="B4" s="9" t="n"/>
      <c r="C4" s="9" t="n"/>
      <c r="D4" s="10" t="n"/>
      <c r="E4" s="24">
        <f>SUM(E7:E500)</f>
        <v/>
      </c>
      <c r="F4" s="23" t="n"/>
    </row>
    <row r="6" ht="22" customHeight="1">
      <c r="A6" s="12" t="inlineStr">
        <is>
          <t>รายการ</t>
        </is>
      </c>
      <c r="B6" s="12" t="inlineStr">
        <is>
          <t>หมวด</t>
        </is>
      </c>
      <c r="C6" s="12" t="inlineStr">
        <is>
          <t>ความถี่</t>
        </is>
      </c>
      <c r="D6" s="12" t="inlineStr">
        <is>
          <t>ยอด/เดือน (THB)</t>
        </is>
      </c>
      <c r="E6" s="12" t="inlineStr">
        <is>
          <t>ยอด (THB)</t>
        </is>
      </c>
      <c r="F6" s="12" t="inlineStr">
        <is>
          <t>หมายเหตุ</t>
        </is>
      </c>
    </row>
    <row r="7">
      <c r="A7" s="16" t="inlineStr">
        <is>
          <t>Marketing / Ads</t>
        </is>
      </c>
      <c r="B7" s="16" t="inlineStr">
        <is>
          <t>Marketing</t>
        </is>
      </c>
      <c r="C7" s="16" t="inlineStr">
        <is>
          <t>รายเดือน</t>
        </is>
      </c>
      <c r="D7" s="16" t="n">
        <v>0</v>
      </c>
      <c r="E7" s="17">
        <f>D7</f>
        <v/>
      </c>
      <c r="F7" s="16" t="inlineStr"/>
    </row>
    <row r="8">
      <c r="A8" s="20" t="inlineStr">
        <is>
          <t>Tools / SaaS (Notion/Slack/etc)</t>
        </is>
      </c>
      <c r="B8" s="20" t="inlineStr">
        <is>
          <t>Tools</t>
        </is>
      </c>
      <c r="C8" s="20" t="inlineStr">
        <is>
          <t>รายเดือน</t>
        </is>
      </c>
      <c r="D8" s="20" t="n">
        <v>0</v>
      </c>
      <c r="E8" s="21">
        <f>D8</f>
        <v/>
      </c>
      <c r="F8" s="20" t="inlineStr"/>
    </row>
    <row r="9">
      <c r="A9" s="16" t="inlineStr">
        <is>
          <t>Payment Gateway fee</t>
        </is>
      </c>
      <c r="B9" s="16" t="inlineStr">
        <is>
          <t>Finance</t>
        </is>
      </c>
      <c r="C9" s="16" t="inlineStr">
        <is>
          <t>% ของยอด</t>
        </is>
      </c>
      <c r="D9" s="16" t="n">
        <v>0</v>
      </c>
      <c r="E9" s="17">
        <f>D9</f>
        <v/>
      </c>
      <c r="F9" s="16" t="inlineStr">
        <is>
          <t>กรณีมี recurring billing</t>
        </is>
      </c>
    </row>
    <row r="10">
      <c r="A10" s="20" t="inlineStr">
        <is>
          <t>ค่าใช้จ่ายเบ็ดเตล็ด</t>
        </is>
      </c>
      <c r="B10" s="20" t="inlineStr">
        <is>
          <t>Misc</t>
        </is>
      </c>
      <c r="C10" s="20" t="inlineStr">
        <is>
          <t>รายเดือน</t>
        </is>
      </c>
      <c r="D10" s="20" t="n">
        <v>0</v>
      </c>
      <c r="E10" s="21">
        <f>D10</f>
        <v/>
      </c>
      <c r="F10" s="20" t="inlineStr"/>
    </row>
  </sheetData>
  <mergeCells count="4">
    <mergeCell ref="A1:B2"/>
    <mergeCell ref="C2:F2"/>
    <mergeCell ref="A4:D4"/>
    <mergeCell ref="C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2026-06-19T06:30:31Z</dcterms:created>
  <dcterms:modified xsi:type="dcterms:W3CDTF">2026-06-24T15:48:19Z</dcterms:modified>
</cp:coreProperties>
</file>