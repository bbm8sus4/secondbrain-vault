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อัตราค่าคอม" sheetId="1" state="visible" r:id="rId1"/>
    <sheet name="คำนวณรายเดือน" sheetId="2" state="visible" r:id="rId2"/>
    <sheet name="สรุปรายค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฿&quot;"/>
    <numFmt numFmtId="165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999999"/>
      <sz val="9"/>
    </font>
    <font>
      <name val="Arial"/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5" fillId="0" borderId="0" pivotButton="0" quotePrefix="0" xfId="0"/>
    <xf numFmtId="165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1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18" customWidth="1" min="5" max="5"/>
    <col width="24" customWidth="1" min="6" max="6"/>
  </cols>
  <sheetData>
    <row r="1" ht="28" customHeight="1">
      <c r="A1" s="1" t="inlineStr">
        <is>
          <t>EasyCRM — อัตราค่าคอมมิชชั่น Sales Executive</t>
        </is>
      </c>
    </row>
    <row r="2">
      <c r="A2" s="2" t="inlineStr">
        <is>
          <t>แก้ตัวเลขในตารางนี้ได้เลย ชีต 'คำนวณรายเดือน' จะดึงไปคำนวณอัตโนมัติ</t>
        </is>
      </c>
    </row>
    <row r="4" ht="32" customHeight="1">
      <c r="A4" s="3" t="inlineStr">
        <is>
          <t>แพ็กเกจ</t>
        </is>
      </c>
      <c r="B4" s="3" t="inlineStr">
        <is>
          <t>ราคา/ปี (ไม่รวม VAT)</t>
        </is>
      </c>
      <c r="C4" s="3" t="inlineStr">
        <is>
          <t>% ค่าคอม</t>
        </is>
      </c>
      <c r="D4" s="3" t="inlineStr">
        <is>
          <t>ค่าคอม/ดีล (ใหม่)</t>
        </is>
      </c>
      <c r="E4" s="3" t="inlineStr">
        <is>
          <t>% ค่าคอม Renewal</t>
        </is>
      </c>
      <c r="F4" s="3" t="inlineStr">
        <is>
          <t>ค่าคอม/ดีล (ต่ออายุ)</t>
        </is>
      </c>
    </row>
    <row r="5">
      <c r="A5" s="4" t="inlineStr">
        <is>
          <t>Starter</t>
        </is>
      </c>
      <c r="B5" s="5" t="n">
        <v>15588</v>
      </c>
      <c r="C5" s="6" t="n">
        <v>0.1</v>
      </c>
      <c r="D5" s="5">
        <f>B5*C5</f>
        <v/>
      </c>
      <c r="E5" s="7" t="n">
        <v>0.05</v>
      </c>
      <c r="F5" s="5">
        <f>B5*E5</f>
        <v/>
      </c>
    </row>
    <row r="6">
      <c r="A6" s="4" t="inlineStr">
        <is>
          <t>Plus</t>
        </is>
      </c>
      <c r="B6" s="5" t="n">
        <v>23988</v>
      </c>
      <c r="C6" s="6" t="n">
        <v>0.12</v>
      </c>
      <c r="D6" s="5">
        <f>B6*C6</f>
        <v/>
      </c>
      <c r="E6" s="7" t="n">
        <v>0.06</v>
      </c>
      <c r="F6" s="5">
        <f>B6*E6</f>
        <v/>
      </c>
    </row>
    <row r="7">
      <c r="A7" s="4" t="inlineStr">
        <is>
          <t>Premium</t>
        </is>
      </c>
      <c r="B7" s="5" t="n">
        <v>35988</v>
      </c>
      <c r="C7" s="6" t="n">
        <v>0.15</v>
      </c>
      <c r="D7" s="5">
        <f>B7*C7</f>
        <v/>
      </c>
      <c r="E7" s="7" t="n">
        <v>0.075</v>
      </c>
      <c r="F7" s="5">
        <f>B7*E7</f>
        <v/>
      </c>
    </row>
    <row r="8">
      <c r="A8" s="4" t="inlineStr">
        <is>
          <t>Enterprise</t>
        </is>
      </c>
      <c r="B8" s="5" t="n"/>
      <c r="C8" s="6" t="n">
        <v>0.1</v>
      </c>
      <c r="D8" s="5">
        <f>B8*C8</f>
        <v/>
      </c>
      <c r="E8" s="7" t="n">
        <v>0.05</v>
      </c>
      <c r="F8" s="5">
        <f>B8*E8</f>
        <v/>
      </c>
    </row>
    <row r="9">
      <c r="B9" s="8" t="inlineStr">
        <is>
          <t>กรอกตามดีลจริง</t>
        </is>
      </c>
    </row>
    <row r="11">
      <c r="A11" s="9" t="inlineStr">
        <is>
          <t>หมายเหตุ</t>
        </is>
      </c>
    </row>
    <row r="12">
      <c r="A12" s="10" t="inlineStr">
        <is>
          <t>• ราคาที่ใช้คำนวณค่าคอม = ราคาก่อน VAT 7%</t>
        </is>
      </c>
    </row>
    <row r="13">
      <c r="A13" s="10" t="inlineStr">
        <is>
          <t>• Renewal (ต่ออายุ) ได้ครึ่งหนึ่งของค่าคอมดีลใหม่ — ปรับได้ในคอลัมน์ E</t>
        </is>
      </c>
    </row>
    <row r="14">
      <c r="A14" s="10" t="inlineStr">
        <is>
          <t>• Enterprise: ราคาตามสัญญา → กรอกราคาดีลในชีต 'คำนวณรายเดือน' โดยตรง</t>
        </is>
      </c>
    </row>
    <row r="15">
      <c r="A15" s="10" t="inlineStr">
        <is>
          <t>• ค่าคอมจ่ายเมื่อ: ลูกค้าชำระเงินครบ + ส่งมอบระบบ (Phase 5 เสร็จ)</t>
        </is>
      </c>
    </row>
    <row r="16">
      <c r="A16" s="10" t="inlineStr">
        <is>
          <t>• เงื่อนไขการยกเลิก: ลูกค้ายกเลิก/refund ภายใน 30 วัน → หักค่าคอมคืน</t>
        </is>
      </c>
    </row>
  </sheetData>
  <mergeCells count="7">
    <mergeCell ref="A2:F2"/>
    <mergeCell ref="A16:F16"/>
    <mergeCell ref="A13:F13"/>
    <mergeCell ref="A14:F14"/>
    <mergeCell ref="A1:F1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2" customWidth="1" min="5" max="5"/>
    <col width="16" customWidth="1" min="6" max="6"/>
    <col width="12" customWidth="1" min="7" max="7"/>
    <col width="18" customWidth="1" min="8" max="8"/>
    <col width="18" customWidth="1" min="9" max="9"/>
  </cols>
  <sheetData>
    <row r="1" ht="28" customHeight="1">
      <c r="A1" s="1" t="inlineStr">
        <is>
          <t>บันทึกดีลรายเดือน — ค่าคอมจะคำนวณอัตโนมัติ</t>
        </is>
      </c>
    </row>
    <row r="2">
      <c r="A2" s="2" t="inlineStr">
        <is>
          <t>กรอก: วันที่ปิดดีล / Sales / ลูกค้า / แพ็กเกจ / ประเภท (ใหม่/ต่ออายุ) / ราคา (ถ้า Enterprise) / สถานะจ่าย</t>
        </is>
      </c>
    </row>
    <row r="4" ht="32" customHeight="1">
      <c r="A4" s="3" t="inlineStr">
        <is>
          <t>วันที่ปิดดีล</t>
        </is>
      </c>
      <c r="B4" s="3" t="inlineStr">
        <is>
          <t>Sales</t>
        </is>
      </c>
      <c r="C4" s="3" t="inlineStr">
        <is>
          <t>ลูกค้า</t>
        </is>
      </c>
      <c r="D4" s="3" t="inlineStr">
        <is>
          <t>แพ็กเกจ</t>
        </is>
      </c>
      <c r="E4" s="3" t="inlineStr">
        <is>
          <t>ประเภท</t>
        </is>
      </c>
      <c r="F4" s="3" t="inlineStr">
        <is>
          <t>ราคาดีล (฿)</t>
        </is>
      </c>
      <c r="G4" s="3" t="inlineStr">
        <is>
          <t>% ค่าคอม</t>
        </is>
      </c>
      <c r="H4" s="3" t="inlineStr">
        <is>
          <t>ค่าคอม (฿)</t>
        </is>
      </c>
      <c r="I4" s="3" t="inlineStr">
        <is>
          <t>สถานะจ่ายค่าคอม</t>
        </is>
      </c>
    </row>
    <row r="5">
      <c r="A5" s="11" t="n"/>
      <c r="B5" s="12" t="n"/>
      <c r="C5" s="12" t="n"/>
      <c r="D5" s="13" t="n"/>
      <c r="E5" s="13" t="n"/>
      <c r="F5" s="5" t="n"/>
      <c r="G5" s="14">
        <f>IF(D5="","",IF(E5="ต่ออายุ",IFERROR(VLOOKUP(D5,อัตราค่าคอม!A5:E8,5,FALSE),0),IFERROR(VLOOKUP(D5,อัตราค่าคอม!A5:C8,3,FALSE),0)))</f>
        <v/>
      </c>
      <c r="H5" s="15">
        <f>IF(D5="","",IF(D5="Enterprise",IFERROR(F5*G5,0),IFERROR(VLOOKUP(D5,อัตราค่าคอม!A5:B8,2,FALSE)*G5,0)))</f>
        <v/>
      </c>
      <c r="I5" s="13" t="n"/>
    </row>
    <row r="6">
      <c r="A6" s="11" t="n"/>
      <c r="B6" s="12" t="n"/>
      <c r="C6" s="12" t="n"/>
      <c r="D6" s="13" t="n"/>
      <c r="E6" s="13" t="n"/>
      <c r="F6" s="5" t="n"/>
      <c r="G6" s="14">
        <f>IF(D6="","",IF(E6="ต่ออายุ",IFERROR(VLOOKUP(D6,อัตราค่าคอม!A5:E8,5,FALSE),0),IFERROR(VLOOKUP(D6,อัตราค่าคอม!A5:C8,3,FALSE),0)))</f>
        <v/>
      </c>
      <c r="H6" s="15">
        <f>IF(D6="","",IF(D6="Enterprise",IFERROR(F6*G6,0),IFERROR(VLOOKUP(D6,อัตราค่าคอม!A5:B8,2,FALSE)*G6,0)))</f>
        <v/>
      </c>
      <c r="I6" s="13" t="n"/>
    </row>
    <row r="7">
      <c r="A7" s="11" t="n"/>
      <c r="B7" s="12" t="n"/>
      <c r="C7" s="12" t="n"/>
      <c r="D7" s="13" t="n"/>
      <c r="E7" s="13" t="n"/>
      <c r="F7" s="5" t="n"/>
      <c r="G7" s="14">
        <f>IF(D7="","",IF(E7="ต่ออายุ",IFERROR(VLOOKUP(D7,อัตราค่าคอม!A5:E8,5,FALSE),0),IFERROR(VLOOKUP(D7,อัตราค่าคอม!A5:C8,3,FALSE),0)))</f>
        <v/>
      </c>
      <c r="H7" s="15">
        <f>IF(D7="","",IF(D7="Enterprise",IFERROR(F7*G7,0),IFERROR(VLOOKUP(D7,อัตราค่าคอม!A5:B8,2,FALSE)*G7,0)))</f>
        <v/>
      </c>
      <c r="I7" s="13" t="n"/>
    </row>
    <row r="8">
      <c r="A8" s="11" t="n"/>
      <c r="B8" s="12" t="n"/>
      <c r="C8" s="12" t="n"/>
      <c r="D8" s="13" t="n"/>
      <c r="E8" s="13" t="n"/>
      <c r="F8" s="5" t="n"/>
      <c r="G8" s="14">
        <f>IF(D8="","",IF(E8="ต่ออายุ",IFERROR(VLOOKUP(D8,อัตราค่าคอม!A5:E8,5,FALSE),0),IFERROR(VLOOKUP(D8,อัตราค่าคอม!A5:C8,3,FALSE),0)))</f>
        <v/>
      </c>
      <c r="H8" s="15">
        <f>IF(D8="","",IF(D8="Enterprise",IFERROR(F8*G8,0),IFERROR(VLOOKUP(D8,อัตราค่าคอม!A5:B8,2,FALSE)*G8,0)))</f>
        <v/>
      </c>
      <c r="I8" s="13" t="n"/>
    </row>
    <row r="9">
      <c r="A9" s="11" t="n"/>
      <c r="B9" s="12" t="n"/>
      <c r="C9" s="12" t="n"/>
      <c r="D9" s="13" t="n"/>
      <c r="E9" s="13" t="n"/>
      <c r="F9" s="5" t="n"/>
      <c r="G9" s="14">
        <f>IF(D9="","",IF(E9="ต่ออายุ",IFERROR(VLOOKUP(D9,อัตราค่าคอม!A5:E8,5,FALSE),0),IFERROR(VLOOKUP(D9,อัตราค่าคอม!A5:C8,3,FALSE),0)))</f>
        <v/>
      </c>
      <c r="H9" s="15">
        <f>IF(D9="","",IF(D9="Enterprise",IFERROR(F9*G9,0),IFERROR(VLOOKUP(D9,อัตราค่าคอม!A5:B8,2,FALSE)*G9,0)))</f>
        <v/>
      </c>
      <c r="I9" s="13" t="n"/>
    </row>
    <row r="10">
      <c r="A10" s="11" t="n"/>
      <c r="B10" s="12" t="n"/>
      <c r="C10" s="12" t="n"/>
      <c r="D10" s="13" t="n"/>
      <c r="E10" s="13" t="n"/>
      <c r="F10" s="5" t="n"/>
      <c r="G10" s="14">
        <f>IF(D10="","",IF(E10="ต่ออายุ",IFERROR(VLOOKUP(D10,อัตราค่าคอม!A5:E8,5,FALSE),0),IFERROR(VLOOKUP(D10,อัตราค่าคอม!A5:C8,3,FALSE),0)))</f>
        <v/>
      </c>
      <c r="H10" s="15">
        <f>IF(D10="","",IF(D10="Enterprise",IFERROR(F10*G10,0),IFERROR(VLOOKUP(D10,อัตราค่าคอม!A5:B8,2,FALSE)*G10,0)))</f>
        <v/>
      </c>
      <c r="I10" s="13" t="n"/>
    </row>
    <row r="11">
      <c r="A11" s="11" t="n"/>
      <c r="B11" s="12" t="n"/>
      <c r="C11" s="12" t="n"/>
      <c r="D11" s="13" t="n"/>
      <c r="E11" s="13" t="n"/>
      <c r="F11" s="5" t="n"/>
      <c r="G11" s="14">
        <f>IF(D11="","",IF(E11="ต่ออายุ",IFERROR(VLOOKUP(D11,อัตราค่าคอม!A5:E8,5,FALSE),0),IFERROR(VLOOKUP(D11,อัตราค่าคอม!A5:C8,3,FALSE),0)))</f>
        <v/>
      </c>
      <c r="H11" s="15">
        <f>IF(D11="","",IF(D11="Enterprise",IFERROR(F11*G11,0),IFERROR(VLOOKUP(D11,อัตราค่าคอม!A5:B8,2,FALSE)*G11,0)))</f>
        <v/>
      </c>
      <c r="I11" s="13" t="n"/>
    </row>
    <row r="12">
      <c r="A12" s="11" t="n"/>
      <c r="B12" s="12" t="n"/>
      <c r="C12" s="12" t="n"/>
      <c r="D12" s="13" t="n"/>
      <c r="E12" s="13" t="n"/>
      <c r="F12" s="5" t="n"/>
      <c r="G12" s="14">
        <f>IF(D12="","",IF(E12="ต่ออายุ",IFERROR(VLOOKUP(D12,อัตราค่าคอม!A5:E8,5,FALSE),0),IFERROR(VLOOKUP(D12,อัตราค่าคอม!A5:C8,3,FALSE),0)))</f>
        <v/>
      </c>
      <c r="H12" s="15">
        <f>IF(D12="","",IF(D12="Enterprise",IFERROR(F12*G12,0),IFERROR(VLOOKUP(D12,อัตราค่าคอม!A5:B8,2,FALSE)*G12,0)))</f>
        <v/>
      </c>
      <c r="I12" s="13" t="n"/>
    </row>
    <row r="13">
      <c r="A13" s="11" t="n"/>
      <c r="B13" s="12" t="n"/>
      <c r="C13" s="12" t="n"/>
      <c r="D13" s="13" t="n"/>
      <c r="E13" s="13" t="n"/>
      <c r="F13" s="5" t="n"/>
      <c r="G13" s="14">
        <f>IF(D13="","",IF(E13="ต่ออายุ",IFERROR(VLOOKUP(D13,อัตราค่าคอม!A5:E8,5,FALSE),0),IFERROR(VLOOKUP(D13,อัตราค่าคอม!A5:C8,3,FALSE),0)))</f>
        <v/>
      </c>
      <c r="H13" s="15">
        <f>IF(D13="","",IF(D13="Enterprise",IFERROR(F13*G13,0),IFERROR(VLOOKUP(D13,อัตราค่าคอม!A5:B8,2,FALSE)*G13,0)))</f>
        <v/>
      </c>
      <c r="I13" s="13" t="n"/>
    </row>
    <row r="14">
      <c r="A14" s="11" t="n"/>
      <c r="B14" s="12" t="n"/>
      <c r="C14" s="12" t="n"/>
      <c r="D14" s="13" t="n"/>
      <c r="E14" s="13" t="n"/>
      <c r="F14" s="5" t="n"/>
      <c r="G14" s="14">
        <f>IF(D14="","",IF(E14="ต่ออายุ",IFERROR(VLOOKUP(D14,อัตราค่าคอม!A5:E8,5,FALSE),0),IFERROR(VLOOKUP(D14,อัตราค่าคอม!A5:C8,3,FALSE),0)))</f>
        <v/>
      </c>
      <c r="H14" s="15">
        <f>IF(D14="","",IF(D14="Enterprise",IFERROR(F14*G14,0),IFERROR(VLOOKUP(D14,อัตราค่าคอม!A5:B8,2,FALSE)*G14,0)))</f>
        <v/>
      </c>
      <c r="I14" s="13" t="n"/>
    </row>
    <row r="15">
      <c r="A15" s="11" t="n"/>
      <c r="B15" s="12" t="n"/>
      <c r="C15" s="12" t="n"/>
      <c r="D15" s="13" t="n"/>
      <c r="E15" s="13" t="n"/>
      <c r="F15" s="5" t="n"/>
      <c r="G15" s="14">
        <f>IF(D15="","",IF(E15="ต่ออายุ",IFERROR(VLOOKUP(D15,อัตราค่าคอม!A5:E8,5,FALSE),0),IFERROR(VLOOKUP(D15,อัตราค่าคอม!A5:C8,3,FALSE),0)))</f>
        <v/>
      </c>
      <c r="H15" s="15">
        <f>IF(D15="","",IF(D15="Enterprise",IFERROR(F15*G15,0),IFERROR(VLOOKUP(D15,อัตราค่าคอม!A5:B8,2,FALSE)*G15,0)))</f>
        <v/>
      </c>
      <c r="I15" s="13" t="n"/>
    </row>
    <row r="16">
      <c r="A16" s="11" t="n"/>
      <c r="B16" s="12" t="n"/>
      <c r="C16" s="12" t="n"/>
      <c r="D16" s="13" t="n"/>
      <c r="E16" s="13" t="n"/>
      <c r="F16" s="5" t="n"/>
      <c r="G16" s="14">
        <f>IF(D16="","",IF(E16="ต่ออายุ",IFERROR(VLOOKUP(D16,อัตราค่าคอม!A5:E8,5,FALSE),0),IFERROR(VLOOKUP(D16,อัตราค่าคอม!A5:C8,3,FALSE),0)))</f>
        <v/>
      </c>
      <c r="H16" s="15">
        <f>IF(D16="","",IF(D16="Enterprise",IFERROR(F16*G16,0),IFERROR(VLOOKUP(D16,อัตราค่าคอม!A5:B8,2,FALSE)*G16,0)))</f>
        <v/>
      </c>
      <c r="I16" s="13" t="n"/>
    </row>
    <row r="17">
      <c r="A17" s="11" t="n"/>
      <c r="B17" s="12" t="n"/>
      <c r="C17" s="12" t="n"/>
      <c r="D17" s="13" t="n"/>
      <c r="E17" s="13" t="n"/>
      <c r="F17" s="5" t="n"/>
      <c r="G17" s="14">
        <f>IF(D17="","",IF(E17="ต่ออายุ",IFERROR(VLOOKUP(D17,อัตราค่าคอม!A5:E8,5,FALSE),0),IFERROR(VLOOKUP(D17,อัตราค่าคอม!A5:C8,3,FALSE),0)))</f>
        <v/>
      </c>
      <c r="H17" s="15">
        <f>IF(D17="","",IF(D17="Enterprise",IFERROR(F17*G17,0),IFERROR(VLOOKUP(D17,อัตราค่าคอม!A5:B8,2,FALSE)*G17,0)))</f>
        <v/>
      </c>
      <c r="I17" s="13" t="n"/>
    </row>
    <row r="18">
      <c r="A18" s="11" t="n"/>
      <c r="B18" s="12" t="n"/>
      <c r="C18" s="12" t="n"/>
      <c r="D18" s="13" t="n"/>
      <c r="E18" s="13" t="n"/>
      <c r="F18" s="5" t="n"/>
      <c r="G18" s="14">
        <f>IF(D18="","",IF(E18="ต่ออายุ",IFERROR(VLOOKUP(D18,อัตราค่าคอม!A5:E8,5,FALSE),0),IFERROR(VLOOKUP(D18,อัตราค่าคอม!A5:C8,3,FALSE),0)))</f>
        <v/>
      </c>
      <c r="H18" s="15">
        <f>IF(D18="","",IF(D18="Enterprise",IFERROR(F18*G18,0),IFERROR(VLOOKUP(D18,อัตราค่าคอม!A5:B8,2,FALSE)*G18,0)))</f>
        <v/>
      </c>
      <c r="I18" s="13" t="n"/>
    </row>
    <row r="19">
      <c r="A19" s="11" t="n"/>
      <c r="B19" s="12" t="n"/>
      <c r="C19" s="12" t="n"/>
      <c r="D19" s="13" t="n"/>
      <c r="E19" s="13" t="n"/>
      <c r="F19" s="5" t="n"/>
      <c r="G19" s="14">
        <f>IF(D19="","",IF(E19="ต่ออายุ",IFERROR(VLOOKUP(D19,อัตราค่าคอม!A5:E8,5,FALSE),0),IFERROR(VLOOKUP(D19,อัตราค่าคอม!A5:C8,3,FALSE),0)))</f>
        <v/>
      </c>
      <c r="H19" s="15">
        <f>IF(D19="","",IF(D19="Enterprise",IFERROR(F19*G19,0),IFERROR(VLOOKUP(D19,อัตราค่าคอม!A5:B8,2,FALSE)*G19,0)))</f>
        <v/>
      </c>
      <c r="I19" s="13" t="n"/>
    </row>
    <row r="20">
      <c r="A20" s="11" t="n"/>
      <c r="B20" s="12" t="n"/>
      <c r="C20" s="12" t="n"/>
      <c r="D20" s="13" t="n"/>
      <c r="E20" s="13" t="n"/>
      <c r="F20" s="5" t="n"/>
      <c r="G20" s="14">
        <f>IF(D20="","",IF(E20="ต่ออายุ",IFERROR(VLOOKUP(D20,อัตราค่าคอม!A5:E8,5,FALSE),0),IFERROR(VLOOKUP(D20,อัตราค่าคอม!A5:C8,3,FALSE),0)))</f>
        <v/>
      </c>
      <c r="H20" s="15">
        <f>IF(D20="","",IF(D20="Enterprise",IFERROR(F20*G20,0),IFERROR(VLOOKUP(D20,อัตราค่าคอม!A5:B8,2,FALSE)*G20,0)))</f>
        <v/>
      </c>
      <c r="I20" s="13" t="n"/>
    </row>
    <row r="21">
      <c r="A21" s="11" t="n"/>
      <c r="B21" s="12" t="n"/>
      <c r="C21" s="12" t="n"/>
      <c r="D21" s="13" t="n"/>
      <c r="E21" s="13" t="n"/>
      <c r="F21" s="5" t="n"/>
      <c r="G21" s="14">
        <f>IF(D21="","",IF(E21="ต่ออายุ",IFERROR(VLOOKUP(D21,อัตราค่าคอม!A5:E8,5,FALSE),0),IFERROR(VLOOKUP(D21,อัตราค่าคอม!A5:C8,3,FALSE),0)))</f>
        <v/>
      </c>
      <c r="H21" s="15">
        <f>IF(D21="","",IF(D21="Enterprise",IFERROR(F21*G21,0),IFERROR(VLOOKUP(D21,อัตราค่าคอม!A5:B8,2,FALSE)*G21,0)))</f>
        <v/>
      </c>
      <c r="I21" s="13" t="n"/>
    </row>
    <row r="22">
      <c r="A22" s="11" t="n"/>
      <c r="B22" s="12" t="n"/>
      <c r="C22" s="12" t="n"/>
      <c r="D22" s="13" t="n"/>
      <c r="E22" s="13" t="n"/>
      <c r="F22" s="5" t="n"/>
      <c r="G22" s="14">
        <f>IF(D22="","",IF(E22="ต่ออายุ",IFERROR(VLOOKUP(D22,อัตราค่าคอม!A5:E8,5,FALSE),0),IFERROR(VLOOKUP(D22,อัตราค่าคอม!A5:C8,3,FALSE),0)))</f>
        <v/>
      </c>
      <c r="H22" s="15">
        <f>IF(D22="","",IF(D22="Enterprise",IFERROR(F22*G22,0),IFERROR(VLOOKUP(D22,อัตราค่าคอม!A5:B8,2,FALSE)*G22,0)))</f>
        <v/>
      </c>
      <c r="I22" s="13" t="n"/>
    </row>
    <row r="23">
      <c r="A23" s="11" t="n"/>
      <c r="B23" s="12" t="n"/>
      <c r="C23" s="12" t="n"/>
      <c r="D23" s="13" t="n"/>
      <c r="E23" s="13" t="n"/>
      <c r="F23" s="5" t="n"/>
      <c r="G23" s="14">
        <f>IF(D23="","",IF(E23="ต่ออายุ",IFERROR(VLOOKUP(D23,อัตราค่าคอม!A5:E8,5,FALSE),0),IFERROR(VLOOKUP(D23,อัตราค่าคอม!A5:C8,3,FALSE),0)))</f>
        <v/>
      </c>
      <c r="H23" s="15">
        <f>IF(D23="","",IF(D23="Enterprise",IFERROR(F23*G23,0),IFERROR(VLOOKUP(D23,อัตราค่าคอม!A5:B8,2,FALSE)*G23,0)))</f>
        <v/>
      </c>
      <c r="I23" s="13" t="n"/>
    </row>
    <row r="24">
      <c r="A24" s="11" t="n"/>
      <c r="B24" s="12" t="n"/>
      <c r="C24" s="12" t="n"/>
      <c r="D24" s="13" t="n"/>
      <c r="E24" s="13" t="n"/>
      <c r="F24" s="5" t="n"/>
      <c r="G24" s="14">
        <f>IF(D24="","",IF(E24="ต่ออายุ",IFERROR(VLOOKUP(D24,อัตราค่าคอม!A5:E8,5,FALSE),0),IFERROR(VLOOKUP(D24,อัตราค่าคอม!A5:C8,3,FALSE),0)))</f>
        <v/>
      </c>
      <c r="H24" s="15">
        <f>IF(D24="","",IF(D24="Enterprise",IFERROR(F24*G24,0),IFERROR(VLOOKUP(D24,อัตราค่าคอม!A5:B8,2,FALSE)*G24,0)))</f>
        <v/>
      </c>
      <c r="I24" s="13" t="n"/>
    </row>
    <row r="25">
      <c r="A25" s="11" t="n"/>
      <c r="B25" s="12" t="n"/>
      <c r="C25" s="12" t="n"/>
      <c r="D25" s="13" t="n"/>
      <c r="E25" s="13" t="n"/>
      <c r="F25" s="5" t="n"/>
      <c r="G25" s="14">
        <f>IF(D25="","",IF(E25="ต่ออายุ",IFERROR(VLOOKUP(D25,อัตราค่าคอม!A5:E8,5,FALSE),0),IFERROR(VLOOKUP(D25,อัตราค่าคอม!A5:C8,3,FALSE),0)))</f>
        <v/>
      </c>
      <c r="H25" s="15">
        <f>IF(D25="","",IF(D25="Enterprise",IFERROR(F25*G25,0),IFERROR(VLOOKUP(D25,อัตราค่าคอม!A5:B8,2,FALSE)*G25,0)))</f>
        <v/>
      </c>
      <c r="I25" s="13" t="n"/>
    </row>
    <row r="26">
      <c r="A26" s="11" t="n"/>
      <c r="B26" s="12" t="n"/>
      <c r="C26" s="12" t="n"/>
      <c r="D26" s="13" t="n"/>
      <c r="E26" s="13" t="n"/>
      <c r="F26" s="5" t="n"/>
      <c r="G26" s="14">
        <f>IF(D26="","",IF(E26="ต่ออายุ",IFERROR(VLOOKUP(D26,อัตราค่าคอม!A5:E8,5,FALSE),0),IFERROR(VLOOKUP(D26,อัตราค่าคอม!A5:C8,3,FALSE),0)))</f>
        <v/>
      </c>
      <c r="H26" s="15">
        <f>IF(D26="","",IF(D26="Enterprise",IFERROR(F26*G26,0),IFERROR(VLOOKUP(D26,อัตราค่าคอม!A5:B8,2,FALSE)*G26,0)))</f>
        <v/>
      </c>
      <c r="I26" s="13" t="n"/>
    </row>
    <row r="27">
      <c r="A27" s="11" t="n"/>
      <c r="B27" s="12" t="n"/>
      <c r="C27" s="12" t="n"/>
      <c r="D27" s="13" t="n"/>
      <c r="E27" s="13" t="n"/>
      <c r="F27" s="5" t="n"/>
      <c r="G27" s="14">
        <f>IF(D27="","",IF(E27="ต่ออายุ",IFERROR(VLOOKUP(D27,อัตราค่าคอม!A5:E8,5,FALSE),0),IFERROR(VLOOKUP(D27,อัตราค่าคอม!A5:C8,3,FALSE),0)))</f>
        <v/>
      </c>
      <c r="H27" s="15">
        <f>IF(D27="","",IF(D27="Enterprise",IFERROR(F27*G27,0),IFERROR(VLOOKUP(D27,อัตราค่าคอม!A5:B8,2,FALSE)*G27,0)))</f>
        <v/>
      </c>
      <c r="I27" s="13" t="n"/>
    </row>
    <row r="28">
      <c r="A28" s="11" t="n"/>
      <c r="B28" s="12" t="n"/>
      <c r="C28" s="12" t="n"/>
      <c r="D28" s="13" t="n"/>
      <c r="E28" s="13" t="n"/>
      <c r="F28" s="5" t="n"/>
      <c r="G28" s="14">
        <f>IF(D28="","",IF(E28="ต่ออายุ",IFERROR(VLOOKUP(D28,อัตราค่าคอม!A5:E8,5,FALSE),0),IFERROR(VLOOKUP(D28,อัตราค่าคอม!A5:C8,3,FALSE),0)))</f>
        <v/>
      </c>
      <c r="H28" s="15">
        <f>IF(D28="","",IF(D28="Enterprise",IFERROR(F28*G28,0),IFERROR(VLOOKUP(D28,อัตราค่าคอม!A5:B8,2,FALSE)*G28,0)))</f>
        <v/>
      </c>
      <c r="I28" s="13" t="n"/>
    </row>
    <row r="29">
      <c r="A29" s="11" t="n"/>
      <c r="B29" s="12" t="n"/>
      <c r="C29" s="12" t="n"/>
      <c r="D29" s="13" t="n"/>
      <c r="E29" s="13" t="n"/>
      <c r="F29" s="5" t="n"/>
      <c r="G29" s="14">
        <f>IF(D29="","",IF(E29="ต่ออายุ",IFERROR(VLOOKUP(D29,อัตราค่าคอม!A5:E8,5,FALSE),0),IFERROR(VLOOKUP(D29,อัตราค่าคอม!A5:C8,3,FALSE),0)))</f>
        <v/>
      </c>
      <c r="H29" s="15">
        <f>IF(D29="","",IF(D29="Enterprise",IFERROR(F29*G29,0),IFERROR(VLOOKUP(D29,อัตราค่าคอม!A5:B8,2,FALSE)*G29,0)))</f>
        <v/>
      </c>
      <c r="I29" s="13" t="n"/>
    </row>
    <row r="30">
      <c r="A30" s="11" t="n"/>
      <c r="B30" s="12" t="n"/>
      <c r="C30" s="12" t="n"/>
      <c r="D30" s="13" t="n"/>
      <c r="E30" s="13" t="n"/>
      <c r="F30" s="5" t="n"/>
      <c r="G30" s="14">
        <f>IF(D30="","",IF(E30="ต่ออายุ",IFERROR(VLOOKUP(D30,อัตราค่าคอม!A5:E8,5,FALSE),0),IFERROR(VLOOKUP(D30,อัตราค่าคอม!A5:C8,3,FALSE),0)))</f>
        <v/>
      </c>
      <c r="H30" s="15">
        <f>IF(D30="","",IF(D30="Enterprise",IFERROR(F30*G30,0),IFERROR(VLOOKUP(D30,อัตราค่าคอม!A5:B8,2,FALSE)*G30,0)))</f>
        <v/>
      </c>
      <c r="I30" s="13" t="n"/>
    </row>
    <row r="31">
      <c r="A31" s="11" t="n"/>
      <c r="B31" s="12" t="n"/>
      <c r="C31" s="12" t="n"/>
      <c r="D31" s="13" t="n"/>
      <c r="E31" s="13" t="n"/>
      <c r="F31" s="5" t="n"/>
      <c r="G31" s="14">
        <f>IF(D31="","",IF(E31="ต่ออายุ",IFERROR(VLOOKUP(D31,อัตราค่าคอม!A5:E8,5,FALSE),0),IFERROR(VLOOKUP(D31,อัตราค่าคอม!A5:C8,3,FALSE),0)))</f>
        <v/>
      </c>
      <c r="H31" s="15">
        <f>IF(D31="","",IF(D31="Enterprise",IFERROR(F31*G31,0),IFERROR(VLOOKUP(D31,อัตราค่าคอม!A5:B8,2,FALSE)*G31,0)))</f>
        <v/>
      </c>
      <c r="I31" s="13" t="n"/>
    </row>
    <row r="32">
      <c r="A32" s="11" t="n"/>
      <c r="B32" s="12" t="n"/>
      <c r="C32" s="12" t="n"/>
      <c r="D32" s="13" t="n"/>
      <c r="E32" s="13" t="n"/>
      <c r="F32" s="5" t="n"/>
      <c r="G32" s="14">
        <f>IF(D32="","",IF(E32="ต่ออายุ",IFERROR(VLOOKUP(D32,อัตราค่าคอม!A5:E8,5,FALSE),0),IFERROR(VLOOKUP(D32,อัตราค่าคอม!A5:C8,3,FALSE),0)))</f>
        <v/>
      </c>
      <c r="H32" s="15">
        <f>IF(D32="","",IF(D32="Enterprise",IFERROR(F32*G32,0),IFERROR(VLOOKUP(D32,อัตราค่าคอม!A5:B8,2,FALSE)*G32,0)))</f>
        <v/>
      </c>
      <c r="I32" s="13" t="n"/>
    </row>
    <row r="33">
      <c r="A33" s="11" t="n"/>
      <c r="B33" s="12" t="n"/>
      <c r="C33" s="12" t="n"/>
      <c r="D33" s="13" t="n"/>
      <c r="E33" s="13" t="n"/>
      <c r="F33" s="5" t="n"/>
      <c r="G33" s="14">
        <f>IF(D33="","",IF(E33="ต่ออายุ",IFERROR(VLOOKUP(D33,อัตราค่าคอม!A5:E8,5,FALSE),0),IFERROR(VLOOKUP(D33,อัตราค่าคอม!A5:C8,3,FALSE),0)))</f>
        <v/>
      </c>
      <c r="H33" s="15">
        <f>IF(D33="","",IF(D33="Enterprise",IFERROR(F33*G33,0),IFERROR(VLOOKUP(D33,อัตราค่าคอม!A5:B8,2,FALSE)*G33,0)))</f>
        <v/>
      </c>
      <c r="I33" s="13" t="n"/>
    </row>
    <row r="34">
      <c r="A34" s="11" t="n"/>
      <c r="B34" s="12" t="n"/>
      <c r="C34" s="12" t="n"/>
      <c r="D34" s="13" t="n"/>
      <c r="E34" s="13" t="n"/>
      <c r="F34" s="5" t="n"/>
      <c r="G34" s="14">
        <f>IF(D34="","",IF(E34="ต่ออายุ",IFERROR(VLOOKUP(D34,อัตราค่าคอม!A5:E8,5,FALSE),0),IFERROR(VLOOKUP(D34,อัตราค่าคอม!A5:C8,3,FALSE),0)))</f>
        <v/>
      </c>
      <c r="H34" s="15">
        <f>IF(D34="","",IF(D34="Enterprise",IFERROR(F34*G34,0),IFERROR(VLOOKUP(D34,อัตราค่าคอม!A5:B8,2,FALSE)*G34,0)))</f>
        <v/>
      </c>
      <c r="I34" s="13" t="n"/>
    </row>
    <row r="35">
      <c r="A35" s="11" t="n"/>
      <c r="B35" s="12" t="n"/>
      <c r="C35" s="12" t="n"/>
      <c r="D35" s="13" t="n"/>
      <c r="E35" s="13" t="n"/>
      <c r="F35" s="5" t="n"/>
      <c r="G35" s="14">
        <f>IF(D35="","",IF(E35="ต่ออายุ",IFERROR(VLOOKUP(D35,อัตราค่าคอม!A5:E8,5,FALSE),0),IFERROR(VLOOKUP(D35,อัตราค่าคอม!A5:C8,3,FALSE),0)))</f>
        <v/>
      </c>
      <c r="H35" s="15">
        <f>IF(D35="","",IF(D35="Enterprise",IFERROR(F35*G35,0),IFERROR(VLOOKUP(D35,อัตราค่าคอม!A5:B8,2,FALSE)*G35,0)))</f>
        <v/>
      </c>
      <c r="I35" s="13" t="n"/>
    </row>
    <row r="36">
      <c r="A36" s="11" t="n"/>
      <c r="B36" s="12" t="n"/>
      <c r="C36" s="12" t="n"/>
      <c r="D36" s="13" t="n"/>
      <c r="E36" s="13" t="n"/>
      <c r="F36" s="5" t="n"/>
      <c r="G36" s="14">
        <f>IF(D36="","",IF(E36="ต่ออายุ",IFERROR(VLOOKUP(D36,อัตราค่าคอม!A5:E8,5,FALSE),0),IFERROR(VLOOKUP(D36,อัตราค่าคอม!A5:C8,3,FALSE),0)))</f>
        <v/>
      </c>
      <c r="H36" s="15">
        <f>IF(D36="","",IF(D36="Enterprise",IFERROR(F36*G36,0),IFERROR(VLOOKUP(D36,อัตราค่าคอม!A5:B8,2,FALSE)*G36,0)))</f>
        <v/>
      </c>
      <c r="I36" s="13" t="n"/>
    </row>
    <row r="37">
      <c r="A37" s="11" t="n"/>
      <c r="B37" s="12" t="n"/>
      <c r="C37" s="12" t="n"/>
      <c r="D37" s="13" t="n"/>
      <c r="E37" s="13" t="n"/>
      <c r="F37" s="5" t="n"/>
      <c r="G37" s="14">
        <f>IF(D37="","",IF(E37="ต่ออายุ",IFERROR(VLOOKUP(D37,อัตราค่าคอม!A5:E8,5,FALSE),0),IFERROR(VLOOKUP(D37,อัตราค่าคอม!A5:C8,3,FALSE),0)))</f>
        <v/>
      </c>
      <c r="H37" s="15">
        <f>IF(D37="","",IF(D37="Enterprise",IFERROR(F37*G37,0),IFERROR(VLOOKUP(D37,อัตราค่าคอม!A5:B8,2,FALSE)*G37,0)))</f>
        <v/>
      </c>
      <c r="I37" s="13" t="n"/>
    </row>
    <row r="38">
      <c r="A38" s="11" t="n"/>
      <c r="B38" s="12" t="n"/>
      <c r="C38" s="12" t="n"/>
      <c r="D38" s="13" t="n"/>
      <c r="E38" s="13" t="n"/>
      <c r="F38" s="5" t="n"/>
      <c r="G38" s="14">
        <f>IF(D38="","",IF(E38="ต่ออายุ",IFERROR(VLOOKUP(D38,อัตราค่าคอม!A5:E8,5,FALSE),0),IFERROR(VLOOKUP(D38,อัตราค่าคอม!A5:C8,3,FALSE),0)))</f>
        <v/>
      </c>
      <c r="H38" s="15">
        <f>IF(D38="","",IF(D38="Enterprise",IFERROR(F38*G38,0),IFERROR(VLOOKUP(D38,อัตราค่าคอม!A5:B8,2,FALSE)*G38,0)))</f>
        <v/>
      </c>
      <c r="I38" s="13" t="n"/>
    </row>
    <row r="39">
      <c r="A39" s="11" t="n"/>
      <c r="B39" s="12" t="n"/>
      <c r="C39" s="12" t="n"/>
      <c r="D39" s="13" t="n"/>
      <c r="E39" s="13" t="n"/>
      <c r="F39" s="5" t="n"/>
      <c r="G39" s="14">
        <f>IF(D39="","",IF(E39="ต่ออายุ",IFERROR(VLOOKUP(D39,อัตราค่าคอม!A5:E8,5,FALSE),0),IFERROR(VLOOKUP(D39,อัตราค่าคอม!A5:C8,3,FALSE),0)))</f>
        <v/>
      </c>
      <c r="H39" s="15">
        <f>IF(D39="","",IF(D39="Enterprise",IFERROR(F39*G39,0),IFERROR(VLOOKUP(D39,อัตราค่าคอม!A5:B8,2,FALSE)*G39,0)))</f>
        <v/>
      </c>
      <c r="I39" s="13" t="n"/>
    </row>
    <row r="40">
      <c r="A40" s="11" t="n"/>
      <c r="B40" s="12" t="n"/>
      <c r="C40" s="12" t="n"/>
      <c r="D40" s="13" t="n"/>
      <c r="E40" s="13" t="n"/>
      <c r="F40" s="5" t="n"/>
      <c r="G40" s="14">
        <f>IF(D40="","",IF(E40="ต่ออายุ",IFERROR(VLOOKUP(D40,อัตราค่าคอม!A5:E8,5,FALSE),0),IFERROR(VLOOKUP(D40,อัตราค่าคอม!A5:C8,3,FALSE),0)))</f>
        <v/>
      </c>
      <c r="H40" s="15">
        <f>IF(D40="","",IF(D40="Enterprise",IFERROR(F40*G40,0),IFERROR(VLOOKUP(D40,อัตราค่าคอม!A5:B8,2,FALSE)*G40,0)))</f>
        <v/>
      </c>
      <c r="I40" s="13" t="n"/>
    </row>
    <row r="41">
      <c r="A41" s="11" t="n"/>
      <c r="B41" s="12" t="n"/>
      <c r="C41" s="12" t="n"/>
      <c r="D41" s="13" t="n"/>
      <c r="E41" s="13" t="n"/>
      <c r="F41" s="5" t="n"/>
      <c r="G41" s="14">
        <f>IF(D41="","",IF(E41="ต่ออายุ",IFERROR(VLOOKUP(D41,อัตราค่าคอม!A5:E8,5,FALSE),0),IFERROR(VLOOKUP(D41,อัตราค่าคอม!A5:C8,3,FALSE),0)))</f>
        <v/>
      </c>
      <c r="H41" s="15">
        <f>IF(D41="","",IF(D41="Enterprise",IFERROR(F41*G41,0),IFERROR(VLOOKUP(D41,อัตราค่าคอม!A5:B8,2,FALSE)*G41,0)))</f>
        <v/>
      </c>
      <c r="I41" s="13" t="n"/>
    </row>
    <row r="42">
      <c r="A42" s="11" t="n"/>
      <c r="B42" s="12" t="n"/>
      <c r="C42" s="12" t="n"/>
      <c r="D42" s="13" t="n"/>
      <c r="E42" s="13" t="n"/>
      <c r="F42" s="5" t="n"/>
      <c r="G42" s="14">
        <f>IF(D42="","",IF(E42="ต่ออายุ",IFERROR(VLOOKUP(D42,อัตราค่าคอม!A5:E8,5,FALSE),0),IFERROR(VLOOKUP(D42,อัตราค่าคอม!A5:C8,3,FALSE),0)))</f>
        <v/>
      </c>
      <c r="H42" s="15">
        <f>IF(D42="","",IF(D42="Enterprise",IFERROR(F42*G42,0),IFERROR(VLOOKUP(D42,อัตราค่าคอม!A5:B8,2,FALSE)*G42,0)))</f>
        <v/>
      </c>
      <c r="I42" s="13" t="n"/>
    </row>
    <row r="43">
      <c r="A43" s="11" t="n"/>
      <c r="B43" s="12" t="n"/>
      <c r="C43" s="12" t="n"/>
      <c r="D43" s="13" t="n"/>
      <c r="E43" s="13" t="n"/>
      <c r="F43" s="5" t="n"/>
      <c r="G43" s="14">
        <f>IF(D43="","",IF(E43="ต่ออายุ",IFERROR(VLOOKUP(D43,อัตราค่าคอม!A5:E8,5,FALSE),0),IFERROR(VLOOKUP(D43,อัตราค่าคอม!A5:C8,3,FALSE),0)))</f>
        <v/>
      </c>
      <c r="H43" s="15">
        <f>IF(D43="","",IF(D43="Enterprise",IFERROR(F43*G43,0),IFERROR(VLOOKUP(D43,อัตราค่าคอม!A5:B8,2,FALSE)*G43,0)))</f>
        <v/>
      </c>
      <c r="I43" s="13" t="n"/>
    </row>
    <row r="44">
      <c r="A44" s="11" t="n"/>
      <c r="B44" s="12" t="n"/>
      <c r="C44" s="12" t="n"/>
      <c r="D44" s="13" t="n"/>
      <c r="E44" s="13" t="n"/>
      <c r="F44" s="5" t="n"/>
      <c r="G44" s="14">
        <f>IF(D44="","",IF(E44="ต่ออายุ",IFERROR(VLOOKUP(D44,อัตราค่าคอม!A5:E8,5,FALSE),0),IFERROR(VLOOKUP(D44,อัตราค่าคอม!A5:C8,3,FALSE),0)))</f>
        <v/>
      </c>
      <c r="H44" s="15">
        <f>IF(D44="","",IF(D44="Enterprise",IFERROR(F44*G44,0),IFERROR(VLOOKUP(D44,อัตราค่าคอม!A5:B8,2,FALSE)*G44,0)))</f>
        <v/>
      </c>
      <c r="I44" s="13" t="n"/>
    </row>
    <row r="45">
      <c r="A45" s="11" t="n"/>
      <c r="B45" s="12" t="n"/>
      <c r="C45" s="12" t="n"/>
      <c r="D45" s="13" t="n"/>
      <c r="E45" s="13" t="n"/>
      <c r="F45" s="5" t="n"/>
      <c r="G45" s="14">
        <f>IF(D45="","",IF(E45="ต่ออายุ",IFERROR(VLOOKUP(D45,อัตราค่าคอม!A5:E8,5,FALSE),0),IFERROR(VLOOKUP(D45,อัตราค่าคอม!A5:C8,3,FALSE),0)))</f>
        <v/>
      </c>
      <c r="H45" s="15">
        <f>IF(D45="","",IF(D45="Enterprise",IFERROR(F45*G45,0),IFERROR(VLOOKUP(D45,อัตราค่าคอม!A5:B8,2,FALSE)*G45,0)))</f>
        <v/>
      </c>
      <c r="I45" s="13" t="n"/>
    </row>
    <row r="46">
      <c r="A46" s="11" t="n"/>
      <c r="B46" s="12" t="n"/>
      <c r="C46" s="12" t="n"/>
      <c r="D46" s="13" t="n"/>
      <c r="E46" s="13" t="n"/>
      <c r="F46" s="5" t="n"/>
      <c r="G46" s="14">
        <f>IF(D46="","",IF(E46="ต่ออายุ",IFERROR(VLOOKUP(D46,อัตราค่าคอม!A5:E8,5,FALSE),0),IFERROR(VLOOKUP(D46,อัตราค่าคอม!A5:C8,3,FALSE),0)))</f>
        <v/>
      </c>
      <c r="H46" s="15">
        <f>IF(D46="","",IF(D46="Enterprise",IFERROR(F46*G46,0),IFERROR(VLOOKUP(D46,อัตราค่าคอม!A5:B8,2,FALSE)*G46,0)))</f>
        <v/>
      </c>
      <c r="I46" s="13" t="n"/>
    </row>
    <row r="47">
      <c r="A47" s="11" t="n"/>
      <c r="B47" s="12" t="n"/>
      <c r="C47" s="12" t="n"/>
      <c r="D47" s="13" t="n"/>
      <c r="E47" s="13" t="n"/>
      <c r="F47" s="5" t="n"/>
      <c r="G47" s="14">
        <f>IF(D47="","",IF(E47="ต่ออายุ",IFERROR(VLOOKUP(D47,อัตราค่าคอม!A5:E8,5,FALSE),0),IFERROR(VLOOKUP(D47,อัตราค่าคอม!A5:C8,3,FALSE),0)))</f>
        <v/>
      </c>
      <c r="H47" s="15">
        <f>IF(D47="","",IF(D47="Enterprise",IFERROR(F47*G47,0),IFERROR(VLOOKUP(D47,อัตราค่าคอม!A5:B8,2,FALSE)*G47,0)))</f>
        <v/>
      </c>
      <c r="I47" s="13" t="n"/>
    </row>
    <row r="48">
      <c r="A48" s="11" t="n"/>
      <c r="B48" s="12" t="n"/>
      <c r="C48" s="12" t="n"/>
      <c r="D48" s="13" t="n"/>
      <c r="E48" s="13" t="n"/>
      <c r="F48" s="5" t="n"/>
      <c r="G48" s="14">
        <f>IF(D48="","",IF(E48="ต่ออายุ",IFERROR(VLOOKUP(D48,อัตราค่าคอม!A5:E8,5,FALSE),0),IFERROR(VLOOKUP(D48,อัตราค่าคอม!A5:C8,3,FALSE),0)))</f>
        <v/>
      </c>
      <c r="H48" s="15">
        <f>IF(D48="","",IF(D48="Enterprise",IFERROR(F48*G48,0),IFERROR(VLOOKUP(D48,อัตราค่าคอม!A5:B8,2,FALSE)*G48,0)))</f>
        <v/>
      </c>
      <c r="I48" s="13" t="n"/>
    </row>
    <row r="49">
      <c r="A49" s="11" t="n"/>
      <c r="B49" s="12" t="n"/>
      <c r="C49" s="12" t="n"/>
      <c r="D49" s="13" t="n"/>
      <c r="E49" s="13" t="n"/>
      <c r="F49" s="5" t="n"/>
      <c r="G49" s="14">
        <f>IF(D49="","",IF(E49="ต่ออายุ",IFERROR(VLOOKUP(D49,อัตราค่าคอม!A5:E8,5,FALSE),0),IFERROR(VLOOKUP(D49,อัตราค่าคอม!A5:C8,3,FALSE),0)))</f>
        <v/>
      </c>
      <c r="H49" s="15">
        <f>IF(D49="","",IF(D49="Enterprise",IFERROR(F49*G49,0),IFERROR(VLOOKUP(D49,อัตราค่าคอม!A5:B8,2,FALSE)*G49,0)))</f>
        <v/>
      </c>
      <c r="I49" s="13" t="n"/>
    </row>
    <row r="50">
      <c r="A50" s="11" t="n"/>
      <c r="B50" s="12" t="n"/>
      <c r="C50" s="12" t="n"/>
      <c r="D50" s="13" t="n"/>
      <c r="E50" s="13" t="n"/>
      <c r="F50" s="5" t="n"/>
      <c r="G50" s="14">
        <f>IF(D50="","",IF(E50="ต่ออายุ",IFERROR(VLOOKUP(D50,อัตราค่าคอม!A5:E8,5,FALSE),0),IFERROR(VLOOKUP(D50,อัตราค่าคอม!A5:C8,3,FALSE),0)))</f>
        <v/>
      </c>
      <c r="H50" s="15">
        <f>IF(D50="","",IF(D50="Enterprise",IFERROR(F50*G50,0),IFERROR(VLOOKUP(D50,อัตราค่าคอม!A5:B8,2,FALSE)*G50,0)))</f>
        <v/>
      </c>
      <c r="I50" s="13" t="n"/>
    </row>
    <row r="51">
      <c r="A51" s="11" t="n"/>
      <c r="B51" s="12" t="n"/>
      <c r="C51" s="12" t="n"/>
      <c r="D51" s="13" t="n"/>
      <c r="E51" s="13" t="n"/>
      <c r="F51" s="5" t="n"/>
      <c r="G51" s="14">
        <f>IF(D51="","",IF(E51="ต่ออายุ",IFERROR(VLOOKUP(D51,อัตราค่าคอม!A5:E8,5,FALSE),0),IFERROR(VLOOKUP(D51,อัตราค่าคอม!A5:C8,3,FALSE),0)))</f>
        <v/>
      </c>
      <c r="H51" s="15">
        <f>IF(D51="","",IF(D51="Enterprise",IFERROR(F51*G51,0),IFERROR(VLOOKUP(D51,อัตราค่าคอม!A5:B8,2,FALSE)*G51,0)))</f>
        <v/>
      </c>
      <c r="I51" s="13" t="n"/>
    </row>
    <row r="52">
      <c r="A52" s="11" t="n"/>
      <c r="B52" s="12" t="n"/>
      <c r="C52" s="12" t="n"/>
      <c r="D52" s="13" t="n"/>
      <c r="E52" s="13" t="n"/>
      <c r="F52" s="5" t="n"/>
      <c r="G52" s="14">
        <f>IF(D52="","",IF(E52="ต่ออายุ",IFERROR(VLOOKUP(D52,อัตราค่าคอม!A5:E8,5,FALSE),0),IFERROR(VLOOKUP(D52,อัตราค่าคอม!A5:C8,3,FALSE),0)))</f>
        <v/>
      </c>
      <c r="H52" s="15">
        <f>IF(D52="","",IF(D52="Enterprise",IFERROR(F52*G52,0),IFERROR(VLOOKUP(D52,อัตราค่าคอม!A5:B8,2,FALSE)*G52,0)))</f>
        <v/>
      </c>
      <c r="I52" s="13" t="n"/>
    </row>
    <row r="53">
      <c r="A53" s="11" t="n"/>
      <c r="B53" s="12" t="n"/>
      <c r="C53" s="12" t="n"/>
      <c r="D53" s="13" t="n"/>
      <c r="E53" s="13" t="n"/>
      <c r="F53" s="5" t="n"/>
      <c r="G53" s="14">
        <f>IF(D53="","",IF(E53="ต่ออายุ",IFERROR(VLOOKUP(D53,อัตราค่าคอม!A5:E8,5,FALSE),0),IFERROR(VLOOKUP(D53,อัตราค่าคอม!A5:C8,3,FALSE),0)))</f>
        <v/>
      </c>
      <c r="H53" s="15">
        <f>IF(D53="","",IF(D53="Enterprise",IFERROR(F53*G53,0),IFERROR(VLOOKUP(D53,อัตราค่าคอม!A5:B8,2,FALSE)*G53,0)))</f>
        <v/>
      </c>
      <c r="I53" s="13" t="n"/>
    </row>
    <row r="54">
      <c r="A54" s="11" t="n"/>
      <c r="B54" s="12" t="n"/>
      <c r="C54" s="12" t="n"/>
      <c r="D54" s="13" t="n"/>
      <c r="E54" s="13" t="n"/>
      <c r="F54" s="5" t="n"/>
      <c r="G54" s="14">
        <f>IF(D54="","",IF(E54="ต่ออายุ",IFERROR(VLOOKUP(D54,อัตราค่าคอม!A5:E8,5,FALSE),0),IFERROR(VLOOKUP(D54,อัตราค่าคอม!A5:C8,3,FALSE),0)))</f>
        <v/>
      </c>
      <c r="H54" s="15">
        <f>IF(D54="","",IF(D54="Enterprise",IFERROR(F54*G54,0),IFERROR(VLOOKUP(D54,อัตราค่าคอม!A5:B8,2,FALSE)*G54,0)))</f>
        <v/>
      </c>
      <c r="I54" s="13" t="n"/>
    </row>
    <row r="56">
      <c r="G56" s="16" t="inlineStr">
        <is>
          <t>รวมทั้งหมด</t>
        </is>
      </c>
      <c r="H56" s="17">
        <f>SUM(H5:H54)</f>
        <v/>
      </c>
    </row>
  </sheetData>
  <mergeCells count="2">
    <mergeCell ref="A1:I1"/>
    <mergeCell ref="A2:I2"/>
  </mergeCells>
  <dataValidations count="3">
    <dataValidation sqref="D5:D54" showDropDown="0" showInputMessage="0" showErrorMessage="0" allowBlank="1" errorTitle="แพ็กเกจไม่ถูกต้อง" error="เลือกจาก: Starter / Plus / Premium / Enterprise" type="list">
      <formula1>"Starter,Plus,Premium,Enterprise"</formula1>
    </dataValidation>
    <dataValidation sqref="E5:E54" showDropDown="0" showInputMessage="0" showErrorMessage="0" allowBlank="1" type="list">
      <formula1>"ใหม่,ต่ออายุ"</formula1>
    </dataValidation>
    <dataValidation sqref="I5:I54" showDropDown="0" showInputMessage="0" showErrorMessage="0" allowBlank="1" type="list">
      <formula1>"รอจ่าย,จ่ายแล้ว,รอเงินลูกค้า,ยกเลิก"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สรุปค่าคอมรายคน — เพิ่มชื่อ Sales ในคอลัมน์ A</t>
        </is>
      </c>
    </row>
    <row r="3" ht="32" customHeight="1">
      <c r="A3" s="3" t="inlineStr">
        <is>
          <t>Sales</t>
        </is>
      </c>
      <c r="B3" s="3" t="inlineStr">
        <is>
          <t>จำนวนดีล</t>
        </is>
      </c>
      <c r="C3" s="3" t="inlineStr">
        <is>
          <t>ยอดขายรวม (฿)</t>
        </is>
      </c>
      <c r="D3" s="3" t="inlineStr">
        <is>
          <t>ค่าคอมรวม (฿)</t>
        </is>
      </c>
      <c r="E3" s="3" t="inlineStr">
        <is>
          <t>ค่าคอมจ่ายแล้ว (฿)</t>
        </is>
      </c>
      <c r="F3" s="3" t="inlineStr">
        <is>
          <t>ค่าคอมค้างจ่าย (฿)</t>
        </is>
      </c>
    </row>
    <row r="4">
      <c r="A4" s="4" t="inlineStr">
        <is>
          <t>MIZTEEN</t>
        </is>
      </c>
      <c r="B4" s="13">
        <f>COUNTIF(คำนวณรายเดือน!B5:B54,A4)</f>
        <v/>
      </c>
      <c r="C4" s="5">
        <f>SUMIFS(คำนวณรายเดือน!F5:F54,คำนวณรายเดือน!B5:B54,A4,คำนวณรายเดือน!D5:D54,"Enterprise")+SUMPRODUCT((คำนวณรายเดือน!B5:B54=A4)*(คำนวณรายเดือน!D5:D54&lt;&gt;"Enterprise")*IFERROR(VLOOKUP(คำนวณรายเดือน!D5:D54,อัตราค่าคอม!A5:B8,2,FALSE),0))</f>
        <v/>
      </c>
      <c r="D4" s="15">
        <f>SUMIF(คำนวณรายเดือน!B5:B54,A4,คำนวณรายเดือน!H5:H54)</f>
        <v/>
      </c>
      <c r="E4" s="5">
        <f>SUMIFS(คำนวณรายเดือน!H5:H54,คำนวณรายเดือน!B5:B54,A4,คำนวณรายเดือน!I5:I54,"จ่ายแล้ว")</f>
        <v/>
      </c>
      <c r="F4" s="5">
        <f>D4-E4</f>
        <v/>
      </c>
    </row>
    <row r="5">
      <c r="A5" s="4" t="inlineStr">
        <is>
          <t>OLIVE</t>
        </is>
      </c>
      <c r="B5" s="13">
        <f>COUNTIF(คำนวณรายเดือน!B5:B54,A5)</f>
        <v/>
      </c>
      <c r="C5" s="5">
        <f>SUMIFS(คำนวณรายเดือน!F5:F54,คำนวณรายเดือน!B5:B54,A5,คำนวณรายเดือน!D5:D54,"Enterprise")+SUMPRODUCT((คำนวณรายเดือน!B5:B54=A5)*(คำนวณรายเดือน!D5:D54&lt;&gt;"Enterprise")*IFERROR(VLOOKUP(คำนวณรายเดือน!D5:D54,อัตราค่าคอม!A5:B8,2,FALSE),0))</f>
        <v/>
      </c>
      <c r="D5" s="15">
        <f>SUMIF(คำนวณรายเดือน!B5:B54,A5,คำนวณรายเดือน!H5:H54)</f>
        <v/>
      </c>
      <c r="E5" s="5">
        <f>SUMIFS(คำนวณรายเดือน!H5:H54,คำนวณรายเดือน!B5:B54,A5,คำนวณรายเดือน!I5:I54,"จ่ายแล้ว")</f>
        <v/>
      </c>
      <c r="F5" s="5">
        <f>D5-E5</f>
        <v/>
      </c>
    </row>
    <row r="6">
      <c r="A6" s="4" t="inlineStr">
        <is>
          <t>SUPPORT</t>
        </is>
      </c>
      <c r="B6" s="13">
        <f>COUNTIF(คำนวณรายเดือน!B5:B54,A6)</f>
        <v/>
      </c>
      <c r="C6" s="5">
        <f>SUMIFS(คำนวณรายเดือน!F5:F54,คำนวณรายเดือน!B5:B54,A6,คำนวณรายเดือน!D5:D54,"Enterprise")+SUMPRODUCT((คำนวณรายเดือน!B5:B54=A6)*(คำนวณรายเดือน!D5:D54&lt;&gt;"Enterprise")*IFERROR(VLOOKUP(คำนวณรายเดือน!D5:D54,อัตราค่าคอม!A5:B8,2,FALSE),0))</f>
        <v/>
      </c>
      <c r="D6" s="15">
        <f>SUMIF(คำนวณรายเดือน!B5:B54,A6,คำนวณรายเดือน!H5:H54)</f>
        <v/>
      </c>
      <c r="E6" s="5">
        <f>SUMIFS(คำนวณรายเดือน!H5:H54,คำนวณรายเดือน!B5:B54,A6,คำนวณรายเดือน!I5:I54,"จ่ายแล้ว")</f>
        <v/>
      </c>
      <c r="F6" s="5">
        <f>D6-E6</f>
        <v/>
      </c>
    </row>
    <row r="7">
      <c r="A7" s="4" t="inlineStr"/>
      <c r="B7" s="13" t="n"/>
      <c r="C7" s="5" t="n"/>
      <c r="D7" s="15" t="n"/>
      <c r="E7" s="5" t="n"/>
      <c r="F7" s="5" t="n"/>
    </row>
    <row r="8">
      <c r="A8" s="4" t="inlineStr"/>
      <c r="B8" s="13" t="n"/>
      <c r="C8" s="5" t="n"/>
      <c r="D8" s="15" t="n"/>
      <c r="E8" s="5" t="n"/>
      <c r="F8" s="5" t="n"/>
    </row>
    <row r="9">
      <c r="A9" s="4" t="inlineStr"/>
      <c r="B9" s="13" t="n"/>
      <c r="C9" s="5" t="n"/>
      <c r="D9" s="15" t="n"/>
      <c r="E9" s="5" t="n"/>
      <c r="F9" s="5" t="n"/>
    </row>
    <row r="10">
      <c r="A10" s="4" t="inlineStr"/>
      <c r="B10" s="13" t="n"/>
      <c r="C10" s="5" t="n"/>
      <c r="D10" s="15" t="n"/>
      <c r="E10" s="5" t="n"/>
      <c r="F10" s="5" t="n"/>
    </row>
    <row r="11">
      <c r="A11" s="4" t="inlineStr"/>
      <c r="B11" s="13" t="n"/>
      <c r="C11" s="5" t="n"/>
      <c r="D11" s="15" t="n"/>
      <c r="E11" s="5" t="n"/>
      <c r="F11" s="5" t="n"/>
    </row>
    <row r="12">
      <c r="A12" s="4" t="inlineStr"/>
      <c r="B12" s="13" t="n"/>
      <c r="C12" s="5" t="n"/>
      <c r="D12" s="15" t="n"/>
      <c r="E12" s="5" t="n"/>
      <c r="F12" s="5" t="n"/>
    </row>
    <row r="14">
      <c r="A14" s="18" t="inlineStr">
        <is>
          <t>รวมทั้งทีม</t>
        </is>
      </c>
      <c r="B14" s="19">
        <f>SUM(B4:B12)</f>
        <v/>
      </c>
      <c r="C14" s="17">
        <f>SUM(C4:C12)</f>
        <v/>
      </c>
      <c r="D14" s="17">
        <f>SUM(D4:D12)</f>
        <v/>
      </c>
      <c r="E14" s="17">
        <f>SUM(E4:E12)</f>
        <v/>
      </c>
      <c r="F14" s="17">
        <f>SUM(F4:F12)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2026-06-19T00:11:27Z</dcterms:created>
  <dcterms:modified xsi:type="dcterms:W3CDTF">2026-06-19T00:11:27Z</dcterms:modified>
</cp:coreProperties>
</file>