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cord" sheetId="1" state="visible" r:id="rId1"/>
    <sheet name="ทีมขาย" sheetId="2" state="visible" r:id="rId2"/>
    <sheet name="Rate" sheetId="3" state="visible" r:id="rId3"/>
    <sheet name="รายได้" sheetId="4" state="visible" r:id="rId4"/>
    <sheet name="REPORT (TH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0 &quot;฿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A2433"/>
      <sz val="18"/>
    </font>
    <font>
      <name val="Arial"/>
      <i val="1"/>
      <color rgb="006A7682"/>
      <sz val="10"/>
    </font>
    <font>
      <name val="Arial"/>
      <b val="1"/>
      <color rgb="006A7682"/>
      <sz val="10"/>
    </font>
    <font>
      <name val="Arial"/>
      <i val="1"/>
      <color rgb="009AA7B2"/>
      <sz val="9"/>
    </font>
    <font>
      <name val="Arial"/>
      <b val="1"/>
      <color rgb="00FFFFFF"/>
      <sz val="10"/>
    </font>
    <font>
      <name val="Arial"/>
      <b val="1"/>
      <color rgb="004A5562"/>
      <sz val="9"/>
    </font>
    <font>
      <name val="Arial"/>
      <b val="1"/>
      <color rgb="001F2A36"/>
      <sz val="11"/>
    </font>
    <font>
      <name val="Arial"/>
      <b val="1"/>
      <color rgb="004A5562"/>
      <sz val="8"/>
    </font>
    <font>
      <name val="Arial"/>
      <b val="1"/>
      <color rgb="002E7D5B"/>
      <sz val="9"/>
    </font>
    <font>
      <name val="Arial"/>
      <b val="1"/>
      <color rgb="00B5791E"/>
      <sz val="9"/>
    </font>
    <font>
      <name val="Arial"/>
      <b val="1"/>
      <color rgb="002A3642"/>
      <sz val="9"/>
    </font>
    <font>
      <name val="Arial"/>
      <color rgb="002A3642"/>
      <sz val="9"/>
    </font>
    <font>
      <name val="Arial"/>
      <b val="1"/>
      <color rgb="008A5A12"/>
      <sz val="9"/>
    </font>
    <font>
      <name val="Arial"/>
      <b val="1"/>
      <color rgb="001A2433"/>
      <sz val="14"/>
    </font>
    <font>
      <name val="Arial"/>
      <i val="1"/>
      <color rgb="006A7682"/>
      <sz val="9"/>
    </font>
    <font>
      <name val="Arial"/>
      <b val="1"/>
      <color rgb="001F2A36"/>
      <sz val="10"/>
    </font>
    <font>
      <name val="Arial"/>
      <color rgb="002A3642"/>
      <sz val="10"/>
    </font>
    <font>
      <name val="Arial"/>
      <b val="1"/>
      <color rgb="001A2433"/>
      <sz val="11"/>
    </font>
    <font>
      <name val="Arial"/>
      <color rgb="003A4652"/>
      <sz val="10"/>
    </font>
    <font>
      <name val="Arial"/>
      <b val="1"/>
      <color rgb="001A2433"/>
      <sz val="16"/>
    </font>
    <font>
      <name val="Arial"/>
      <b val="1"/>
      <color rgb="008A5A12"/>
      <sz val="10"/>
    </font>
    <font>
      <name val="Arial"/>
      <color rgb="006A7682"/>
      <sz val="9"/>
    </font>
    <font>
      <name val="Arial"/>
      <b val="1"/>
      <color rgb="00FFFFFF"/>
      <sz val="9"/>
    </font>
    <font>
      <name val="Arial"/>
      <b val="1"/>
      <color rgb="000E5E5D"/>
      <sz val="10"/>
    </font>
    <font>
      <name val="Arial"/>
      <b val="1"/>
      <color rgb="001F2A36"/>
      <sz val="9"/>
    </font>
    <font>
      <name val="Arial"/>
      <b val="1"/>
      <color rgb="001A2433"/>
      <sz val="9"/>
    </font>
    <font>
      <name val="Arial"/>
      <color rgb="005A6673"/>
      <sz val="9"/>
    </font>
    <font>
      <name val="Arial"/>
      <color rgb="00B5791E"/>
      <sz val="9"/>
    </font>
  </fonts>
  <fills count="21">
    <fill>
      <patternFill/>
    </fill>
    <fill>
      <patternFill patternType="gray125"/>
    </fill>
    <fill>
      <patternFill patternType="solid">
        <fgColor rgb="001A2433"/>
      </patternFill>
    </fill>
    <fill>
      <patternFill patternType="solid">
        <fgColor rgb="000E7C7B"/>
      </patternFill>
    </fill>
    <fill>
      <patternFill patternType="solid">
        <fgColor rgb="00D5ECEB"/>
      </patternFill>
    </fill>
    <fill>
      <patternFill patternType="solid">
        <fgColor rgb="00D9ECE3"/>
      </patternFill>
    </fill>
    <fill>
      <patternFill patternType="solid">
        <fgColor rgb="00D6E2F1"/>
      </patternFill>
    </fill>
    <fill>
      <patternFill patternType="solid">
        <fgColor rgb="002E7D5B"/>
      </patternFill>
    </fill>
    <fill>
      <patternFill patternType="solid">
        <fgColor rgb="00F4F6F8"/>
      </patternFill>
    </fill>
    <fill>
      <patternFill patternType="solid">
        <fgColor rgb="001F4E79"/>
      </patternFill>
    </fill>
    <fill>
      <patternFill patternType="solid">
        <fgColor rgb="00F5E9D2"/>
      </patternFill>
    </fill>
    <fill>
      <patternFill patternType="solid">
        <fgColor rgb="0051606E"/>
      </patternFill>
    </fill>
    <fill>
      <patternFill patternType="solid">
        <fgColor rgb="00B5791E"/>
      </patternFill>
    </fill>
    <fill>
      <patternFill patternType="solid">
        <fgColor rgb="00E2E7EB"/>
      </patternFill>
    </fill>
    <fill>
      <patternFill patternType="solid">
        <fgColor rgb="00FFFFFF"/>
      </patternFill>
    </fill>
    <fill>
      <patternFill patternType="solid">
        <fgColor rgb="00FFF6E6"/>
      </patternFill>
    </fill>
    <fill>
      <patternFill patternType="solid">
        <fgColor rgb="00FAFBFC"/>
      </patternFill>
    </fill>
    <fill>
      <patternFill patternType="solid">
        <fgColor rgb="00FCEFD8"/>
      </patternFill>
    </fill>
    <fill>
      <patternFill patternType="solid">
        <fgColor rgb="00F2F5F8"/>
      </patternFill>
    </fill>
    <fill>
      <patternFill patternType="solid">
        <fgColor rgb="00EAF1F1"/>
      </patternFill>
    </fill>
    <fill>
      <patternFill patternType="solid">
        <fgColor rgb="00EAEDF0"/>
      </patternFill>
    </fill>
  </fills>
  <borders count="20">
    <border>
      <left/>
      <right/>
      <top/>
      <bottom/>
      <diagonal/>
    </border>
    <border>
      <left style="thin">
        <color rgb="00C4CDD5"/>
      </left>
      <right style="thin">
        <color rgb="00C4CDD5"/>
      </right>
      <top style="thin">
        <color rgb="00C4CDD5"/>
      </top>
      <bottom style="thin">
        <color rgb="00C4CDD5"/>
      </bottom>
    </border>
    <border>
      <left/>
      <right/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/>
      <diagonal/>
    </border>
    <border>
      <left/>
      <right style="thin">
        <color rgb="00C4CDD5"/>
      </right>
      <top style="thin">
        <color rgb="00C4CDD5"/>
      </top>
      <bottom style="thin">
        <color rgb="00C4CDD5"/>
      </bottom>
      <diagonal/>
    </border>
    <border>
      <left style="medium">
        <color rgb="009AA7B2"/>
      </left>
      <right style="medium">
        <color rgb="009AA7B2"/>
      </right>
      <top style="medium">
        <color rgb="009AA7B2"/>
      </top>
      <bottom style="thin">
        <color rgb="00C4CDD5"/>
      </bottom>
    </border>
    <border>
      <left style="thin">
        <color rgb="00C4CDD5"/>
      </left>
      <right style="thin">
        <color rgb="00C4CDD5"/>
      </right>
      <top style="medium">
        <color rgb="009AA7B2"/>
      </top>
      <bottom style="medium">
        <color rgb="009AA7B2"/>
      </bottom>
    </border>
    <border>
      <left/>
      <right/>
      <top style="medium">
        <color rgb="009AA7B2"/>
      </top>
      <bottom/>
      <diagonal/>
    </border>
    <border>
      <left/>
      <right style="medium">
        <color rgb="009AA7B2"/>
      </right>
      <top style="medium">
        <color rgb="009AA7B2"/>
      </top>
      <bottom/>
      <diagonal/>
    </border>
    <border>
      <left/>
      <right/>
      <top style="medium">
        <color rgb="009AA7B2"/>
      </top>
      <bottom style="thin">
        <color rgb="00C4CDD5"/>
      </bottom>
      <diagonal/>
    </border>
    <border>
      <left/>
      <right style="medium">
        <color rgb="009AA7B2"/>
      </right>
      <top style="medium">
        <color rgb="009AA7B2"/>
      </top>
      <bottom style="thin">
        <color rgb="00C4CDD5"/>
      </bottom>
      <diagonal/>
    </border>
    <border>
      <left/>
      <right/>
      <top style="thin">
        <color rgb="00C4CDD5"/>
      </top>
      <bottom style="thin">
        <color rgb="00C4CDD5"/>
      </bottom>
      <diagonal/>
    </border>
    <border>
      <left/>
      <right style="thin">
        <color rgb="00C4CDD5"/>
      </right>
      <top style="medium">
        <color rgb="009AA7B2"/>
      </top>
      <bottom/>
      <diagonal/>
    </border>
    <border>
      <left/>
      <right/>
      <top style="medium">
        <color rgb="009AA7B2"/>
      </top>
      <bottom style="medium">
        <color rgb="009AA7B2"/>
      </bottom>
      <diagonal/>
    </border>
    <border>
      <left/>
      <right style="thin">
        <color rgb="00C4CDD5"/>
      </right>
      <top style="medium">
        <color rgb="009AA7B2"/>
      </top>
      <bottom style="medium">
        <color rgb="009AA7B2"/>
      </bottom>
      <diagonal/>
    </border>
    <border>
      <left/>
      <right style="medium">
        <color rgb="009AA7B2"/>
      </right>
      <top/>
      <bottom style="thin">
        <color rgb="00C4CDD5"/>
      </bottom>
      <diagonal/>
    </border>
    <border>
      <left/>
      <right style="medium">
        <color rgb="009AA7B2"/>
      </right>
      <top/>
      <bottom/>
      <diagonal/>
    </border>
    <border>
      <left/>
      <right/>
      <top/>
      <bottom style="thin">
        <color rgb="00C4CDD5"/>
      </bottom>
      <diagonal/>
    </border>
    <border>
      <top style="medium">
        <color rgb="009AA7B2"/>
      </top>
    </border>
    <border>
      <right/>
      <top style="medium">
        <color rgb="009AA7B2"/>
      </top>
      <bottom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0" fontId="6" fillId="11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12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4" fontId="13" fillId="14" borderId="1" applyAlignment="1" pivotButton="0" quotePrefix="0" xfId="0">
      <alignment horizontal="right" vertical="center"/>
    </xf>
    <xf numFmtId="165" fontId="13" fillId="14" borderId="1" applyAlignment="1" pivotButton="0" quotePrefix="0" xfId="0">
      <alignment horizontal="center" vertical="center"/>
    </xf>
    <xf numFmtId="4" fontId="14" fillId="15" borderId="1" applyAlignment="1" pivotButton="0" quotePrefix="0" xfId="0">
      <alignment horizontal="right" vertical="center"/>
    </xf>
    <xf numFmtId="0" fontId="13" fillId="16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left" vertical="center"/>
    </xf>
    <xf numFmtId="4" fontId="13" fillId="16" borderId="1" applyAlignment="1" pivotButton="0" quotePrefix="0" xfId="0">
      <alignment horizontal="right" vertical="center"/>
    </xf>
    <xf numFmtId="165" fontId="13" fillId="16" borderId="1" applyAlignment="1" pivotButton="0" quotePrefix="0" xfId="0">
      <alignment horizontal="center" vertical="center"/>
    </xf>
    <xf numFmtId="4" fontId="14" fillId="17" borderId="1" applyAlignment="1" pivotButton="0" quotePrefix="0" xfId="0">
      <alignment horizontal="right" vertical="center"/>
    </xf>
    <xf numFmtId="0" fontId="6" fillId="2" borderId="6" pivotButton="0" quotePrefix="0" xfId="0"/>
    <xf numFmtId="0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6" fillId="3" borderId="6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166" fontId="18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left" vertical="center"/>
    </xf>
    <xf numFmtId="166" fontId="18" fillId="16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center" vertical="center"/>
    </xf>
    <xf numFmtId="166" fontId="5" fillId="16" borderId="1" applyAlignment="1" pivotButton="0" quotePrefix="0" xfId="0">
      <alignment horizontal="right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9" borderId="6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4" fontId="18" fillId="14" borderId="1" applyAlignment="1" pivotButton="0" quotePrefix="0" xfId="0">
      <alignment horizontal="right" vertical="center"/>
    </xf>
    <xf numFmtId="4" fontId="22" fillId="15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center" vertical="center"/>
    </xf>
    <xf numFmtId="4" fontId="18" fillId="16" borderId="1" applyAlignment="1" pivotButton="0" quotePrefix="0" xfId="0">
      <alignment horizontal="right" vertical="center"/>
    </xf>
    <xf numFmtId="4" fontId="22" fillId="17" borderId="1" applyAlignment="1" pivotButton="0" quotePrefix="0" xfId="0">
      <alignment horizontal="right" vertical="center"/>
    </xf>
    <xf numFmtId="1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2" fillId="15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22" fillId="18" borderId="1" applyAlignment="1" pivotButton="0" quotePrefix="0" xfId="0">
      <alignment horizontal="right" vertical="center"/>
    </xf>
    <xf numFmtId="4" fontId="18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0" fontId="0" fillId="2" borderId="6" pivotButton="0" quotePrefix="0" xfId="0"/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5" pivotButton="0" quotePrefix="0" xfId="0"/>
    <xf numFmtId="0" fontId="13" fillId="14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3" borderId="6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2" fillId="15" borderId="1" applyAlignment="1" pivotButton="0" quotePrefix="0" xfId="0">
      <alignment horizontal="center" vertical="center"/>
    </xf>
    <xf numFmtId="9" fontId="25" fillId="19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18" fillId="18" borderId="1" applyAlignment="1" pivotButton="0" quotePrefix="0" xfId="0">
      <alignment horizontal="right" vertical="center"/>
    </xf>
    <xf numFmtId="4" fontId="22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9" fontId="6" fillId="2" borderId="6" applyAlignment="1" pivotButton="0" quotePrefix="0" xfId="0">
      <alignment horizontal="center" vertical="center"/>
    </xf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23" fillId="0" borderId="0" applyAlignment="1" pivotButton="0" quotePrefix="0" xfId="0">
      <alignment horizontal="left" vertical="center"/>
    </xf>
    <xf numFmtId="3" fontId="13" fillId="14" borderId="1" applyAlignment="1" pivotButton="0" quotePrefix="0" xfId="0">
      <alignment horizontal="center" vertical="center"/>
    </xf>
    <xf numFmtId="164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4" fontId="13" fillId="14" borderId="1" applyAlignment="1" pivotButton="0" quotePrefix="0" xfId="0">
      <alignment horizontal="right" vertical="center"/>
    </xf>
    <xf numFmtId="9" fontId="13" fillId="14" borderId="1" applyAlignment="1" pivotButton="0" quotePrefix="0" xfId="0">
      <alignment horizontal="center" vertical="center"/>
    </xf>
    <xf numFmtId="4" fontId="26" fillId="5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3" fontId="6" fillId="2" borderId="6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9" fontId="25" fillId="19" borderId="1" applyAlignment="1" pivotButton="0" quotePrefix="0" xfId="0">
      <alignment horizontal="center" vertical="center"/>
    </xf>
    <xf numFmtId="3" fontId="18" fillId="18" borderId="1" applyAlignment="1" pivotButton="0" quotePrefix="0" xfId="0">
      <alignment horizontal="center" vertical="center"/>
    </xf>
    <xf numFmtId="4" fontId="18" fillId="18" borderId="1" applyAlignment="1" pivotButton="0" quotePrefix="0" xfId="0">
      <alignment horizontal="right" vertical="center"/>
    </xf>
    <xf numFmtId="4" fontId="22" fillId="18" borderId="1" applyAlignment="1" pivotButton="0" quotePrefix="0" xfId="0">
      <alignment horizontal="right" vertical="center"/>
    </xf>
    <xf numFmtId="0" fontId="6" fillId="2" borderId="6" applyAlignment="1" pivotButton="0" quotePrefix="0" xfId="0">
      <alignment horizontal="right" vertical="center"/>
    </xf>
    <xf numFmtId="9" fontId="6" fillId="2" borderId="6" applyAlignment="1" pivotButton="0" quotePrefix="0" xfId="0">
      <alignment horizontal="center" vertical="center"/>
    </xf>
    <xf numFmtId="3" fontId="6" fillId="2" borderId="6" applyAlignment="1" pivotButton="0" quotePrefix="0" xfId="0">
      <alignment horizontal="right" vertical="center"/>
    </xf>
    <xf numFmtId="4" fontId="6" fillId="2" borderId="6" applyAlignment="1" pivotButton="0" quotePrefix="0" xfId="0">
      <alignment horizontal="right" vertical="center"/>
    </xf>
    <xf numFmtId="0" fontId="27" fillId="20" borderId="18" applyAlignment="1" pivotButton="0" quotePrefix="0" xfId="0">
      <alignment horizontal="left" vertical="center"/>
    </xf>
    <xf numFmtId="0" fontId="0" fillId="0" borderId="7" pivotButton="0" quotePrefix="0" xfId="0"/>
    <xf numFmtId="0" fontId="28" fillId="0" borderId="0" applyAlignment="1" pivotButton="0" quotePrefix="0" xfId="0">
      <alignment horizontal="left" vertical="center"/>
    </xf>
    <xf numFmtId="0" fontId="27" fillId="20" borderId="19" applyAlignment="1" pivotButton="0" quotePrefix="0" xfId="0">
      <alignment horizontal="left" vertical="center"/>
    </xf>
    <xf numFmtId="164" fontId="13" fillId="14" borderId="1" applyAlignment="1" applyProtection="1" pivotButton="0" quotePrefix="0" xfId="0">
      <alignment horizontal="center" vertical="center"/>
      <protection locked="0" hidden="0"/>
    </xf>
    <xf numFmtId="0" fontId="13" fillId="14" borderId="1" applyAlignment="1" applyProtection="1" pivotButton="0" quotePrefix="0" xfId="0">
      <alignment horizontal="left" vertical="center"/>
      <protection locked="0" hidden="0"/>
    </xf>
    <xf numFmtId="0" fontId="13" fillId="14" borderId="1" applyAlignment="1" applyProtection="1" pivotButton="0" quotePrefix="0" xfId="0">
      <alignment horizontal="center" vertical="center"/>
      <protection locked="0" hidden="0"/>
    </xf>
    <xf numFmtId="4" fontId="13" fillId="14" borderId="1" applyAlignment="1" applyProtection="1" pivotButton="0" quotePrefix="0" xfId="0">
      <alignment horizontal="right" vertical="center"/>
      <protection locked="0" hidden="0"/>
    </xf>
    <xf numFmtId="165" fontId="13" fillId="14" borderId="1" applyAlignment="1" applyProtection="1" pivotButton="0" quotePrefix="0" xfId="0">
      <alignment horizontal="center" vertical="center"/>
      <protection locked="0" hidden="0"/>
    </xf>
    <xf numFmtId="164" fontId="13" fillId="16" borderId="1" applyAlignment="1" applyProtection="1" pivotButton="0" quotePrefix="0" xfId="0">
      <alignment horizontal="center" vertical="center"/>
      <protection locked="0" hidden="0"/>
    </xf>
    <xf numFmtId="0" fontId="13" fillId="16" borderId="1" applyAlignment="1" applyProtection="1" pivotButton="0" quotePrefix="0" xfId="0">
      <alignment horizontal="left" vertical="center"/>
      <protection locked="0" hidden="0"/>
    </xf>
    <xf numFmtId="0" fontId="13" fillId="16" borderId="1" applyAlignment="1" applyProtection="1" pivotButton="0" quotePrefix="0" xfId="0">
      <alignment horizontal="center" vertical="center"/>
      <protection locked="0" hidden="0"/>
    </xf>
    <xf numFmtId="4" fontId="13" fillId="16" borderId="1" applyAlignment="1" applyProtection="1" pivotButton="0" quotePrefix="0" xfId="0">
      <alignment horizontal="right" vertical="center"/>
      <protection locked="0" hidden="0"/>
    </xf>
    <xf numFmtId="165" fontId="13" fillId="16" borderId="1" applyAlignment="1" applyProtection="1" pivotButton="0" quotePrefix="0" xfId="0">
      <alignment horizontal="center" vertical="center"/>
      <protection locked="0" hidden="0"/>
    </xf>
    <xf numFmtId="0" fontId="29" fillId="0" borderId="0" applyAlignment="1" pivotButton="0" quotePrefix="0" xfId="0">
      <alignment horizontal="left" vertical="center"/>
    </xf>
    <xf numFmtId="0" fontId="17" fillId="14" borderId="1" applyAlignment="1" applyProtection="1" pivotButton="0" quotePrefix="0" xfId="0">
      <alignment horizontal="left" vertical="center"/>
      <protection locked="0" hidden="0"/>
    </xf>
    <xf numFmtId="0" fontId="18" fillId="14" borderId="1" applyAlignment="1" applyProtection="1" pivotButton="0" quotePrefix="0" xfId="0">
      <alignment horizontal="left" vertical="center"/>
      <protection locked="0" hidden="0"/>
    </xf>
    <xf numFmtId="9" fontId="25" fillId="19" borderId="1" applyAlignment="1" applyProtection="1" pivotButton="0" quotePrefix="0" xfId="0">
      <alignment horizontal="center" vertical="center"/>
      <protection locked="0" hidden="0"/>
    </xf>
    <xf numFmtId="166" fontId="18" fillId="14" borderId="1" applyAlignment="1" applyProtection="1" pivotButton="0" quotePrefix="0" xfId="0">
      <alignment horizontal="right" vertical="center"/>
      <protection locked="0" hidden="0"/>
    </xf>
    <xf numFmtId="165" fontId="18" fillId="14" borderId="1" applyAlignment="1" applyProtection="1" pivotButton="0" quotePrefix="0" xfId="0">
      <alignment horizontal="center" vertical="center"/>
      <protection locked="0" hidden="0"/>
    </xf>
    <xf numFmtId="166" fontId="18" fillId="16" borderId="1" applyAlignment="1" applyProtection="1" pivotButton="0" quotePrefix="0" xfId="0">
      <alignment horizontal="right" vertical="center"/>
      <protection locked="0" hidden="0"/>
    </xf>
    <xf numFmtId="165" fontId="18" fillId="16" borderId="1" applyAlignment="1" applyProtection="1" pivotButton="0" quotePrefix="0" xfId="0">
      <alignment horizontal="center" vertical="center"/>
      <protection locked="0" hidden="0"/>
    </xf>
    <xf numFmtId="166" fontId="5" fillId="16" borderId="1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2" customWidth="1" min="4" max="4"/>
    <col width="11" customWidth="1" min="5" max="5"/>
    <col width="12" customWidth="1" min="6" max="6"/>
    <col width="12" customWidth="1" min="7" max="7"/>
    <col width="14" customWidth="1" min="8" max="8"/>
    <col width="10" customWidth="1" min="9" max="9"/>
    <col width="15" customWidth="1" min="10" max="10"/>
    <col width="11" customWidth="1" min="11" max="11"/>
    <col width="12" customWidth="1" min="12" max="12"/>
    <col width="9" customWidth="1" min="13" max="13"/>
    <col width="15" customWidth="1" min="14" max="14"/>
    <col width="13" customWidth="1" min="15" max="15"/>
  </cols>
  <sheetData>
    <row r="1" ht="26" customHeight="1">
      <c r="A1" s="1" t="inlineStr">
        <is>
          <t>EASY
CRM</t>
        </is>
      </c>
      <c r="C1" s="2" t="inlineStr">
        <is>
          <t>SALES RECORD &amp; COMMISSION SYSTEM 2026</t>
        </is>
      </c>
      <c r="L1" s="3" t="inlineStr">
        <is>
          <t>ปีงบประมาณ 2026</t>
        </is>
      </c>
    </row>
    <row r="2" ht="18" customHeight="1">
      <c r="C2" s="4" t="inlineStr">
        <is>
          <t>ระบบบันทึกการขายและคำนวณค่าคอมมิชชั่น · EasyCRM (บริษัท อีซี่สลิป จำกัด)</t>
        </is>
      </c>
      <c r="L2" s="5" t="inlineStr">
        <is>
          <t>อัปเดตอัตโนมัติจากตารางด้านล่าง</t>
        </is>
      </c>
    </row>
    <row r="4" ht="19" customHeight="1">
      <c r="A4" s="6" t="inlineStr">
        <is>
          <t>รายได้ &amp; ค่าคอม รายไตรมาส (THB)</t>
        </is>
      </c>
      <c r="G4" s="7" t="inlineStr">
        <is>
          <t>สรุปรายได้ (THB)</t>
        </is>
      </c>
      <c r="L4" s="8" t="inlineStr">
        <is>
          <t>สรุปค่าคอมรายคน (THB)</t>
        </is>
      </c>
    </row>
    <row r="5" ht="19" customHeight="1">
      <c r="A5" s="9" t="inlineStr">
        <is>
          <t>ทั้งปี</t>
        </is>
      </c>
      <c r="B5" s="9" t="inlineStr">
        <is>
          <t>Q1</t>
        </is>
      </c>
      <c r="C5" s="9" t="inlineStr">
        <is>
          <t>Q2</t>
        </is>
      </c>
      <c r="D5" s="9" t="inlineStr">
        <is>
          <t>Q3</t>
        </is>
      </c>
      <c r="E5" s="9" t="inlineStr">
        <is>
          <t>Q4</t>
        </is>
      </c>
      <c r="G5" s="10" t="inlineStr">
        <is>
          <t>ยอดเต็ม</t>
        </is>
      </c>
      <c r="H5" s="10" t="inlineStr">
        <is>
          <t>ส่วนลด</t>
        </is>
      </c>
      <c r="I5" s="10" t="inlineStr">
        <is>
          <t>สุทธิ</t>
        </is>
      </c>
      <c r="L5" s="11" t="inlineStr">
        <is>
          <t>รวม</t>
        </is>
      </c>
      <c r="M5" s="11">
        <f>'ทีมขาย'!A6</f>
        <v/>
      </c>
      <c r="N5" s="11">
        <f>'ทีมขาย'!A7</f>
        <v/>
      </c>
      <c r="O5" s="11">
        <f>'ทีมขาย'!A8</f>
        <v/>
      </c>
    </row>
    <row r="6" ht="19" customHeight="1">
      <c r="A6" s="12">
        <f>SUM(J13:J52)</f>
        <v/>
      </c>
      <c r="B6" s="12">
        <f>SUMIF(C13:C52,"Q1",J13:J52)</f>
        <v/>
      </c>
      <c r="C6" s="12">
        <f>SUMIF(C13:C52,"Q2",J13:J52)</f>
        <v/>
      </c>
      <c r="D6" s="12">
        <f>SUMIF(C13:C52,"Q3",J13:J52)</f>
        <v/>
      </c>
      <c r="E6" s="12">
        <f>SUMIF(C13:C52,"Q4",J13:J52)</f>
        <v/>
      </c>
      <c r="G6" s="13">
        <f>SUM(H13:H52)</f>
        <v/>
      </c>
      <c r="H6" s="13">
        <f>SUM(H13:H52)-SUM(J13:J52)</f>
        <v/>
      </c>
      <c r="I6" s="12">
        <f>SUM(J13:J52)</f>
        <v/>
      </c>
      <c r="L6" s="14">
        <f>SUM(N13:N52)</f>
        <v/>
      </c>
      <c r="M6" s="13">
        <f>'ทีมขาย'!F6</f>
        <v/>
      </c>
      <c r="N6" s="13">
        <f>'ทีมขาย'!F7</f>
        <v/>
      </c>
      <c r="O6" s="13">
        <f>'ทีมขาย'!F8</f>
        <v/>
      </c>
    </row>
    <row r="7" ht="19" customHeight="1">
      <c r="A7" s="15" t="inlineStr">
        <is>
          <t>ค่าคอม รวมทั้งปี</t>
        </is>
      </c>
      <c r="B7" s="14">
        <f>SUMIF(C13:C52,"Q1",N13:N52)</f>
        <v/>
      </c>
      <c r="C7" s="14">
        <f>SUMIF(C13:C52,"Q2",N13:N52)</f>
        <v/>
      </c>
      <c r="D7" s="14">
        <f>SUMIF(C13:C52,"Q3",N13:N52)</f>
        <v/>
      </c>
      <c r="E7" s="14">
        <f>SUMIF(C13:C52,"Q4",N13:N52)</f>
        <v/>
      </c>
      <c r="G7" s="16" t="inlineStr">
        <is>
          <t>จำนวนดีลทั้งหมด</t>
        </is>
      </c>
      <c r="H7" s="70" t="n"/>
      <c r="I7" s="18" t="n"/>
      <c r="L7" s="17" t="inlineStr">
        <is>
          <t>จ่ายแล้ว</t>
        </is>
      </c>
      <c r="M7" s="18" t="n"/>
      <c r="N7" s="19" t="inlineStr">
        <is>
          <t>ค้างจ่าย</t>
        </is>
      </c>
      <c r="O7" s="18" t="n"/>
    </row>
    <row r="8" ht="19" customHeight="1">
      <c r="A8" s="14">
        <f>SUM(N13:N52)</f>
        <v/>
      </c>
      <c r="G8" s="13">
        <f>COUNTA(B13:B52)</f>
        <v/>
      </c>
      <c r="H8" s="70" t="n"/>
      <c r="I8" s="18" t="n"/>
      <c r="L8" s="12">
        <f>SUMIF(O13:O52,"จ่ายแล้ว",N13:N52)</f>
        <v/>
      </c>
      <c r="M8" s="18" t="n"/>
      <c r="N8" s="20">
        <f>SUM(N13:N52)-SUMIF(O13:O52,"จ่ายแล้ว",N13:N52)</f>
        <v/>
      </c>
      <c r="O8" s="18" t="n"/>
    </row>
    <row r="11" ht="20" customHeight="1">
      <c r="A11" s="21" t="inlineStr">
        <is>
          <t>บันทึก</t>
        </is>
      </c>
      <c r="B11" s="71" t="n"/>
      <c r="C11" s="72" t="n"/>
      <c r="D11" s="22" t="inlineStr">
        <is>
          <t>ลูกค้า</t>
        </is>
      </c>
      <c r="E11" s="23" t="inlineStr">
        <is>
          <t>ธุรกรรม</t>
        </is>
      </c>
      <c r="F11" s="72" t="n"/>
      <c r="G11" s="22" t="inlineStr">
        <is>
          <t>บริการ</t>
        </is>
      </c>
      <c r="H11" s="24" t="inlineStr">
        <is>
          <t>รายได้ (THB)</t>
        </is>
      </c>
      <c r="I11" s="71" t="n"/>
      <c r="J11" s="72" t="n"/>
      <c r="K11" s="21" t="inlineStr">
        <is>
          <t>ค่าคอมมิชชั่น</t>
        </is>
      </c>
      <c r="L11" s="71" t="n"/>
      <c r="M11" s="71" t="n"/>
      <c r="N11" s="72" t="n"/>
      <c r="O11" s="21" t="inlineStr">
        <is>
          <t>สถานะ</t>
        </is>
      </c>
    </row>
    <row r="12" ht="28" customHeight="1">
      <c r="A12" s="26" t="inlineStr">
        <is>
          <t>No</t>
        </is>
      </c>
      <c r="B12" s="26" t="inlineStr">
        <is>
          <t>วันที่</t>
        </is>
      </c>
      <c r="C12" s="26" t="inlineStr">
        <is>
          <t>ไตรมาส</t>
        </is>
      </c>
      <c r="D12" s="27" t="inlineStr">
        <is>
          <t>ชื่อลูกค้า</t>
        </is>
      </c>
      <c r="E12" s="28" t="inlineStr">
        <is>
          <t>ประเภท</t>
        </is>
      </c>
      <c r="F12" s="28" t="inlineStr">
        <is>
          <t>การชำระเงิน</t>
        </is>
      </c>
      <c r="G12" s="27" t="inlineStr">
        <is>
          <t>แพ็กเกจ</t>
        </is>
      </c>
      <c r="H12" s="29" t="inlineStr">
        <is>
          <t>ราคาเต็ม</t>
        </is>
      </c>
      <c r="I12" s="29" t="inlineStr">
        <is>
          <t>ส่วนลด %</t>
        </is>
      </c>
      <c r="J12" s="29" t="inlineStr">
        <is>
          <t>รายได้สุทธิ</t>
        </is>
      </c>
      <c r="K12" s="30" t="inlineStr">
        <is>
          <t>จ่ายแบบ</t>
        </is>
      </c>
      <c r="L12" s="30" t="inlineStr">
        <is>
          <t>Sales</t>
        </is>
      </c>
      <c r="M12" s="30" t="inlineStr">
        <is>
          <t>Rate %</t>
        </is>
      </c>
      <c r="N12" s="30" t="inlineStr">
        <is>
          <t>ค่าคอม (THB)</t>
        </is>
      </c>
      <c r="O12" s="26" t="inlineStr">
        <is>
          <t>สถานะจ่าย</t>
        </is>
      </c>
    </row>
    <row r="13">
      <c r="A13" s="106">
        <f>IF(B13="","",ROW()-12)</f>
        <v/>
      </c>
      <c r="B13" s="129" t="n"/>
      <c r="C13" s="106">
        <f>IF(B13="","","Q"&amp;ROUNDUP(MONTH(B13)/3,0))</f>
        <v/>
      </c>
      <c r="D13" s="130" t="n"/>
      <c r="E13" s="131" t="n"/>
      <c r="F13" s="131" t="n"/>
      <c r="G13" s="131" t="n"/>
      <c r="H13" s="132">
        <f>IF(G13="","",IFERROR(VLOOKUP(G13,Rate!$A$4:$B$7,2,FALSE),""))</f>
        <v/>
      </c>
      <c r="I13" s="133" t="n"/>
      <c r="J13" s="108">
        <f>IF(H13="","",H13*(1-IF(I13="",0,I13)))</f>
        <v/>
      </c>
      <c r="K13" s="131" t="n"/>
      <c r="L13" s="131" t="n"/>
      <c r="M13" s="35">
        <f>IF(G13="","",IFERROR(IF(E13="ต่ออายุ",VLOOKUP(G13,Rate!$A$4:$E$7,5,FALSE),VLOOKUP(G13,Rate!$A$4:$C$7,3,FALSE)),""))</f>
        <v/>
      </c>
      <c r="N13" s="36">
        <f>IF(OR(J13="",M13=""),"",J13*M13)</f>
        <v/>
      </c>
      <c r="O13" s="131" t="n"/>
    </row>
    <row r="14">
      <c r="A14" s="89">
        <f>IF(B14="","",ROW()-12)</f>
        <v/>
      </c>
      <c r="B14" s="134" t="n"/>
      <c r="C14" s="89">
        <f>IF(B14="","","Q"&amp;ROUNDUP(MONTH(B14)/3,0))</f>
        <v/>
      </c>
      <c r="D14" s="135" t="n"/>
      <c r="E14" s="136" t="n"/>
      <c r="F14" s="136" t="n"/>
      <c r="G14" s="136" t="n"/>
      <c r="H14" s="137">
        <f>IF(G14="","",IFERROR(VLOOKUP(G14,Rate!$A$4:$B$7,2,FALSE),""))</f>
        <v/>
      </c>
      <c r="I14" s="138" t="n"/>
      <c r="J14" s="40">
        <f>IF(H14="","",H14*(1-IF(I14="",0,I14)))</f>
        <v/>
      </c>
      <c r="K14" s="136" t="n"/>
      <c r="L14" s="136" t="n"/>
      <c r="M14" s="41">
        <f>IF(G14="","",IFERROR(IF(E14="ต่ออายุ",VLOOKUP(G14,Rate!$A$4:$E$7,5,FALSE),VLOOKUP(G14,Rate!$A$4:$C$7,3,FALSE)),""))</f>
        <v/>
      </c>
      <c r="N14" s="42">
        <f>IF(OR(J14="",M14=""),"",J14*M14)</f>
        <v/>
      </c>
      <c r="O14" s="136" t="n"/>
    </row>
    <row r="15">
      <c r="A15" s="106">
        <f>IF(B15="","",ROW()-12)</f>
        <v/>
      </c>
      <c r="B15" s="129" t="n"/>
      <c r="C15" s="106">
        <f>IF(B15="","","Q"&amp;ROUNDUP(MONTH(B15)/3,0))</f>
        <v/>
      </c>
      <c r="D15" s="130" t="n"/>
      <c r="E15" s="131" t="n"/>
      <c r="F15" s="131" t="n"/>
      <c r="G15" s="131" t="n"/>
      <c r="H15" s="132">
        <f>IF(G15="","",IFERROR(VLOOKUP(G15,Rate!$A$4:$B$7,2,FALSE),""))</f>
        <v/>
      </c>
      <c r="I15" s="133" t="n"/>
      <c r="J15" s="108">
        <f>IF(H15="","",H15*(1-IF(I15="",0,I15)))</f>
        <v/>
      </c>
      <c r="K15" s="131" t="n"/>
      <c r="L15" s="131" t="n"/>
      <c r="M15" s="35">
        <f>IF(G15="","",IFERROR(IF(E15="ต่ออายุ",VLOOKUP(G15,Rate!$A$4:$E$7,5,FALSE),VLOOKUP(G15,Rate!$A$4:$C$7,3,FALSE)),""))</f>
        <v/>
      </c>
      <c r="N15" s="36">
        <f>IF(OR(J15="",M15=""),"",J15*M15)</f>
        <v/>
      </c>
      <c r="O15" s="131" t="n"/>
    </row>
    <row r="16">
      <c r="A16" s="89">
        <f>IF(B16="","",ROW()-12)</f>
        <v/>
      </c>
      <c r="B16" s="134" t="n"/>
      <c r="C16" s="89">
        <f>IF(B16="","","Q"&amp;ROUNDUP(MONTH(B16)/3,0))</f>
        <v/>
      </c>
      <c r="D16" s="135" t="n"/>
      <c r="E16" s="136" t="n"/>
      <c r="F16" s="136" t="n"/>
      <c r="G16" s="136" t="n"/>
      <c r="H16" s="137">
        <f>IF(G16="","",IFERROR(VLOOKUP(G16,Rate!$A$4:$B$7,2,FALSE),""))</f>
        <v/>
      </c>
      <c r="I16" s="138" t="n"/>
      <c r="J16" s="40">
        <f>IF(H16="","",H16*(1-IF(I16="",0,I16)))</f>
        <v/>
      </c>
      <c r="K16" s="136" t="n"/>
      <c r="L16" s="136" t="n"/>
      <c r="M16" s="41">
        <f>IF(G16="","",IFERROR(IF(E16="ต่ออายุ",VLOOKUP(G16,Rate!$A$4:$E$7,5,FALSE),VLOOKUP(G16,Rate!$A$4:$C$7,3,FALSE)),""))</f>
        <v/>
      </c>
      <c r="N16" s="42">
        <f>IF(OR(J16="",M16=""),"",J16*M16)</f>
        <v/>
      </c>
      <c r="O16" s="136" t="n"/>
    </row>
    <row r="17">
      <c r="A17" s="106">
        <f>IF(B17="","",ROW()-12)</f>
        <v/>
      </c>
      <c r="B17" s="129" t="n"/>
      <c r="C17" s="106">
        <f>IF(B17="","","Q"&amp;ROUNDUP(MONTH(B17)/3,0))</f>
        <v/>
      </c>
      <c r="D17" s="130" t="n"/>
      <c r="E17" s="131" t="n"/>
      <c r="F17" s="131" t="n"/>
      <c r="G17" s="131" t="n"/>
      <c r="H17" s="132">
        <f>IF(G17="","",IFERROR(VLOOKUP(G17,Rate!$A$4:$B$7,2,FALSE),""))</f>
        <v/>
      </c>
      <c r="I17" s="133" t="n"/>
      <c r="J17" s="108">
        <f>IF(H17="","",H17*(1-IF(I17="",0,I17)))</f>
        <v/>
      </c>
      <c r="K17" s="131" t="n"/>
      <c r="L17" s="131" t="n"/>
      <c r="M17" s="35">
        <f>IF(G17="","",IFERROR(IF(E17="ต่ออายุ",VLOOKUP(G17,Rate!$A$4:$E$7,5,FALSE),VLOOKUP(G17,Rate!$A$4:$C$7,3,FALSE)),""))</f>
        <v/>
      </c>
      <c r="N17" s="36">
        <f>IF(OR(J17="",M17=""),"",J17*M17)</f>
        <v/>
      </c>
      <c r="O17" s="131" t="n"/>
    </row>
    <row r="18">
      <c r="A18" s="89">
        <f>IF(B18="","",ROW()-12)</f>
        <v/>
      </c>
      <c r="B18" s="134" t="n"/>
      <c r="C18" s="89">
        <f>IF(B18="","","Q"&amp;ROUNDUP(MONTH(B18)/3,0))</f>
        <v/>
      </c>
      <c r="D18" s="135" t="n"/>
      <c r="E18" s="136" t="n"/>
      <c r="F18" s="136" t="n"/>
      <c r="G18" s="136" t="n"/>
      <c r="H18" s="137">
        <f>IF(G18="","",IFERROR(VLOOKUP(G18,Rate!$A$4:$B$7,2,FALSE),""))</f>
        <v/>
      </c>
      <c r="I18" s="138" t="n"/>
      <c r="J18" s="40">
        <f>IF(H18="","",H18*(1-IF(I18="",0,I18)))</f>
        <v/>
      </c>
      <c r="K18" s="136" t="n"/>
      <c r="L18" s="136" t="n"/>
      <c r="M18" s="41">
        <f>IF(G18="","",IFERROR(IF(E18="ต่ออายุ",VLOOKUP(G18,Rate!$A$4:$E$7,5,FALSE),VLOOKUP(G18,Rate!$A$4:$C$7,3,FALSE)),""))</f>
        <v/>
      </c>
      <c r="N18" s="42">
        <f>IF(OR(J18="",M18=""),"",J18*M18)</f>
        <v/>
      </c>
      <c r="O18" s="136" t="n"/>
    </row>
    <row r="19">
      <c r="A19" s="106">
        <f>IF(B19="","",ROW()-12)</f>
        <v/>
      </c>
      <c r="B19" s="129" t="n"/>
      <c r="C19" s="106">
        <f>IF(B19="","","Q"&amp;ROUNDUP(MONTH(B19)/3,0))</f>
        <v/>
      </c>
      <c r="D19" s="130" t="n"/>
      <c r="E19" s="131" t="n"/>
      <c r="F19" s="131" t="n"/>
      <c r="G19" s="131" t="n"/>
      <c r="H19" s="132">
        <f>IF(G19="","",IFERROR(VLOOKUP(G19,Rate!$A$4:$B$7,2,FALSE),""))</f>
        <v/>
      </c>
      <c r="I19" s="133" t="n"/>
      <c r="J19" s="108">
        <f>IF(H19="","",H19*(1-IF(I19="",0,I19)))</f>
        <v/>
      </c>
      <c r="K19" s="131" t="n"/>
      <c r="L19" s="131" t="n"/>
      <c r="M19" s="35">
        <f>IF(G19="","",IFERROR(IF(E19="ต่ออายุ",VLOOKUP(G19,Rate!$A$4:$E$7,5,FALSE),VLOOKUP(G19,Rate!$A$4:$C$7,3,FALSE)),""))</f>
        <v/>
      </c>
      <c r="N19" s="36">
        <f>IF(OR(J19="",M19=""),"",J19*M19)</f>
        <v/>
      </c>
      <c r="O19" s="131" t="n"/>
    </row>
    <row r="20">
      <c r="A20" s="89">
        <f>IF(B20="","",ROW()-12)</f>
        <v/>
      </c>
      <c r="B20" s="134" t="n"/>
      <c r="C20" s="89">
        <f>IF(B20="","","Q"&amp;ROUNDUP(MONTH(B20)/3,0))</f>
        <v/>
      </c>
      <c r="D20" s="135" t="n"/>
      <c r="E20" s="136" t="n"/>
      <c r="F20" s="136" t="n"/>
      <c r="G20" s="136" t="n"/>
      <c r="H20" s="137">
        <f>IF(G20="","",IFERROR(VLOOKUP(G20,Rate!$A$4:$B$7,2,FALSE),""))</f>
        <v/>
      </c>
      <c r="I20" s="138" t="n"/>
      <c r="J20" s="40">
        <f>IF(H20="","",H20*(1-IF(I20="",0,I20)))</f>
        <v/>
      </c>
      <c r="K20" s="136" t="n"/>
      <c r="L20" s="136" t="n"/>
      <c r="M20" s="41">
        <f>IF(G20="","",IFERROR(IF(E20="ต่ออายุ",VLOOKUP(G20,Rate!$A$4:$E$7,5,FALSE),VLOOKUP(G20,Rate!$A$4:$C$7,3,FALSE)),""))</f>
        <v/>
      </c>
      <c r="N20" s="42">
        <f>IF(OR(J20="",M20=""),"",J20*M20)</f>
        <v/>
      </c>
      <c r="O20" s="136" t="n"/>
    </row>
    <row r="21">
      <c r="A21" s="106">
        <f>IF(B21="","",ROW()-12)</f>
        <v/>
      </c>
      <c r="B21" s="129" t="n"/>
      <c r="C21" s="106">
        <f>IF(B21="","","Q"&amp;ROUNDUP(MONTH(B21)/3,0))</f>
        <v/>
      </c>
      <c r="D21" s="130" t="n"/>
      <c r="E21" s="131" t="n"/>
      <c r="F21" s="131" t="n"/>
      <c r="G21" s="131" t="n"/>
      <c r="H21" s="132">
        <f>IF(G21="","",IFERROR(VLOOKUP(G21,Rate!$A$4:$B$7,2,FALSE),""))</f>
        <v/>
      </c>
      <c r="I21" s="133" t="n"/>
      <c r="J21" s="108">
        <f>IF(H21="","",H21*(1-IF(I21="",0,I21)))</f>
        <v/>
      </c>
      <c r="K21" s="131" t="n"/>
      <c r="L21" s="131" t="n"/>
      <c r="M21" s="35">
        <f>IF(G21="","",IFERROR(IF(E21="ต่ออายุ",VLOOKUP(G21,Rate!$A$4:$E$7,5,FALSE),VLOOKUP(G21,Rate!$A$4:$C$7,3,FALSE)),""))</f>
        <v/>
      </c>
      <c r="N21" s="36">
        <f>IF(OR(J21="",M21=""),"",J21*M21)</f>
        <v/>
      </c>
      <c r="O21" s="131" t="n"/>
    </row>
    <row r="22">
      <c r="A22" s="89">
        <f>IF(B22="","",ROW()-12)</f>
        <v/>
      </c>
      <c r="B22" s="134" t="n"/>
      <c r="C22" s="89">
        <f>IF(B22="","","Q"&amp;ROUNDUP(MONTH(B22)/3,0))</f>
        <v/>
      </c>
      <c r="D22" s="135" t="n"/>
      <c r="E22" s="136" t="n"/>
      <c r="F22" s="136" t="n"/>
      <c r="G22" s="136" t="n"/>
      <c r="H22" s="137">
        <f>IF(G22="","",IFERROR(VLOOKUP(G22,Rate!$A$4:$B$7,2,FALSE),""))</f>
        <v/>
      </c>
      <c r="I22" s="138" t="n"/>
      <c r="J22" s="40">
        <f>IF(H22="","",H22*(1-IF(I22="",0,I22)))</f>
        <v/>
      </c>
      <c r="K22" s="136" t="n"/>
      <c r="L22" s="136" t="n"/>
      <c r="M22" s="41">
        <f>IF(G22="","",IFERROR(IF(E22="ต่ออายุ",VLOOKUP(G22,Rate!$A$4:$E$7,5,FALSE),VLOOKUP(G22,Rate!$A$4:$C$7,3,FALSE)),""))</f>
        <v/>
      </c>
      <c r="N22" s="42">
        <f>IF(OR(J22="",M22=""),"",J22*M22)</f>
        <v/>
      </c>
      <c r="O22" s="136" t="n"/>
    </row>
    <row r="23">
      <c r="A23" s="106">
        <f>IF(B23="","",ROW()-12)</f>
        <v/>
      </c>
      <c r="B23" s="129" t="n"/>
      <c r="C23" s="106">
        <f>IF(B23="","","Q"&amp;ROUNDUP(MONTH(B23)/3,0))</f>
        <v/>
      </c>
      <c r="D23" s="130" t="n"/>
      <c r="E23" s="131" t="n"/>
      <c r="F23" s="131" t="n"/>
      <c r="G23" s="131" t="n"/>
      <c r="H23" s="132">
        <f>IF(G23="","",IFERROR(VLOOKUP(G23,Rate!$A$4:$B$7,2,FALSE),""))</f>
        <v/>
      </c>
      <c r="I23" s="133" t="n"/>
      <c r="J23" s="108">
        <f>IF(H23="","",H23*(1-IF(I23="",0,I23)))</f>
        <v/>
      </c>
      <c r="K23" s="131" t="n"/>
      <c r="L23" s="131" t="n"/>
      <c r="M23" s="35">
        <f>IF(G23="","",IFERROR(IF(E23="ต่ออายุ",VLOOKUP(G23,Rate!$A$4:$E$7,5,FALSE),VLOOKUP(G23,Rate!$A$4:$C$7,3,FALSE)),""))</f>
        <v/>
      </c>
      <c r="N23" s="36">
        <f>IF(OR(J23="",M23=""),"",J23*M23)</f>
        <v/>
      </c>
      <c r="O23" s="131" t="n"/>
    </row>
    <row r="24">
      <c r="A24" s="89">
        <f>IF(B24="","",ROW()-12)</f>
        <v/>
      </c>
      <c r="B24" s="134" t="n"/>
      <c r="C24" s="89">
        <f>IF(B24="","","Q"&amp;ROUNDUP(MONTH(B24)/3,0))</f>
        <v/>
      </c>
      <c r="D24" s="135" t="n"/>
      <c r="E24" s="136" t="n"/>
      <c r="F24" s="136" t="n"/>
      <c r="G24" s="136" t="n"/>
      <c r="H24" s="137">
        <f>IF(G24="","",IFERROR(VLOOKUP(G24,Rate!$A$4:$B$7,2,FALSE),""))</f>
        <v/>
      </c>
      <c r="I24" s="138" t="n"/>
      <c r="J24" s="40">
        <f>IF(H24="","",H24*(1-IF(I24="",0,I24)))</f>
        <v/>
      </c>
      <c r="K24" s="136" t="n"/>
      <c r="L24" s="136" t="n"/>
      <c r="M24" s="41">
        <f>IF(G24="","",IFERROR(IF(E24="ต่ออายุ",VLOOKUP(G24,Rate!$A$4:$E$7,5,FALSE),VLOOKUP(G24,Rate!$A$4:$C$7,3,FALSE)),""))</f>
        <v/>
      </c>
      <c r="N24" s="42">
        <f>IF(OR(J24="",M24=""),"",J24*M24)</f>
        <v/>
      </c>
      <c r="O24" s="136" t="n"/>
    </row>
    <row r="25">
      <c r="A25" s="106">
        <f>IF(B25="","",ROW()-12)</f>
        <v/>
      </c>
      <c r="B25" s="129" t="n"/>
      <c r="C25" s="106">
        <f>IF(B25="","","Q"&amp;ROUNDUP(MONTH(B25)/3,0))</f>
        <v/>
      </c>
      <c r="D25" s="130" t="n"/>
      <c r="E25" s="131" t="n"/>
      <c r="F25" s="131" t="n"/>
      <c r="G25" s="131" t="n"/>
      <c r="H25" s="132">
        <f>IF(G25="","",IFERROR(VLOOKUP(G25,Rate!$A$4:$B$7,2,FALSE),""))</f>
        <v/>
      </c>
      <c r="I25" s="133" t="n"/>
      <c r="J25" s="108">
        <f>IF(H25="","",H25*(1-IF(I25="",0,I25)))</f>
        <v/>
      </c>
      <c r="K25" s="131" t="n"/>
      <c r="L25" s="131" t="n"/>
      <c r="M25" s="35">
        <f>IF(G25="","",IFERROR(IF(E25="ต่ออายุ",VLOOKUP(G25,Rate!$A$4:$E$7,5,FALSE),VLOOKUP(G25,Rate!$A$4:$C$7,3,FALSE)),""))</f>
        <v/>
      </c>
      <c r="N25" s="36">
        <f>IF(OR(J25="",M25=""),"",J25*M25)</f>
        <v/>
      </c>
      <c r="O25" s="131" t="n"/>
    </row>
    <row r="26">
      <c r="A26" s="89">
        <f>IF(B26="","",ROW()-12)</f>
        <v/>
      </c>
      <c r="B26" s="134" t="n"/>
      <c r="C26" s="89">
        <f>IF(B26="","","Q"&amp;ROUNDUP(MONTH(B26)/3,0))</f>
        <v/>
      </c>
      <c r="D26" s="135" t="n"/>
      <c r="E26" s="136" t="n"/>
      <c r="F26" s="136" t="n"/>
      <c r="G26" s="136" t="n"/>
      <c r="H26" s="137">
        <f>IF(G26="","",IFERROR(VLOOKUP(G26,Rate!$A$4:$B$7,2,FALSE),""))</f>
        <v/>
      </c>
      <c r="I26" s="138" t="n"/>
      <c r="J26" s="40">
        <f>IF(H26="","",H26*(1-IF(I26="",0,I26)))</f>
        <v/>
      </c>
      <c r="K26" s="136" t="n"/>
      <c r="L26" s="136" t="n"/>
      <c r="M26" s="41">
        <f>IF(G26="","",IFERROR(IF(E26="ต่ออายุ",VLOOKUP(G26,Rate!$A$4:$E$7,5,FALSE),VLOOKUP(G26,Rate!$A$4:$C$7,3,FALSE)),""))</f>
        <v/>
      </c>
      <c r="N26" s="42">
        <f>IF(OR(J26="",M26=""),"",J26*M26)</f>
        <v/>
      </c>
      <c r="O26" s="136" t="n"/>
    </row>
    <row r="27">
      <c r="A27" s="106">
        <f>IF(B27="","",ROW()-12)</f>
        <v/>
      </c>
      <c r="B27" s="129" t="n"/>
      <c r="C27" s="106">
        <f>IF(B27="","","Q"&amp;ROUNDUP(MONTH(B27)/3,0))</f>
        <v/>
      </c>
      <c r="D27" s="130" t="n"/>
      <c r="E27" s="131" t="n"/>
      <c r="F27" s="131" t="n"/>
      <c r="G27" s="131" t="n"/>
      <c r="H27" s="132">
        <f>IF(G27="","",IFERROR(VLOOKUP(G27,Rate!$A$4:$B$7,2,FALSE),""))</f>
        <v/>
      </c>
      <c r="I27" s="133" t="n"/>
      <c r="J27" s="108">
        <f>IF(H27="","",H27*(1-IF(I27="",0,I27)))</f>
        <v/>
      </c>
      <c r="K27" s="131" t="n"/>
      <c r="L27" s="131" t="n"/>
      <c r="M27" s="35">
        <f>IF(G27="","",IFERROR(IF(E27="ต่ออายุ",VLOOKUP(G27,Rate!$A$4:$E$7,5,FALSE),VLOOKUP(G27,Rate!$A$4:$C$7,3,FALSE)),""))</f>
        <v/>
      </c>
      <c r="N27" s="36">
        <f>IF(OR(J27="",M27=""),"",J27*M27)</f>
        <v/>
      </c>
      <c r="O27" s="131" t="n"/>
    </row>
    <row r="28">
      <c r="A28" s="89">
        <f>IF(B28="","",ROW()-12)</f>
        <v/>
      </c>
      <c r="B28" s="134" t="n"/>
      <c r="C28" s="89">
        <f>IF(B28="","","Q"&amp;ROUNDUP(MONTH(B28)/3,0))</f>
        <v/>
      </c>
      <c r="D28" s="135" t="n"/>
      <c r="E28" s="136" t="n"/>
      <c r="F28" s="136" t="n"/>
      <c r="G28" s="136" t="n"/>
      <c r="H28" s="137">
        <f>IF(G28="","",IFERROR(VLOOKUP(G28,Rate!$A$4:$B$7,2,FALSE),""))</f>
        <v/>
      </c>
      <c r="I28" s="138" t="n"/>
      <c r="J28" s="40">
        <f>IF(H28="","",H28*(1-IF(I28="",0,I28)))</f>
        <v/>
      </c>
      <c r="K28" s="136" t="n"/>
      <c r="L28" s="136" t="n"/>
      <c r="M28" s="41">
        <f>IF(G28="","",IFERROR(IF(E28="ต่ออายุ",VLOOKUP(G28,Rate!$A$4:$E$7,5,FALSE),VLOOKUP(G28,Rate!$A$4:$C$7,3,FALSE)),""))</f>
        <v/>
      </c>
      <c r="N28" s="42">
        <f>IF(OR(J28="",M28=""),"",J28*M28)</f>
        <v/>
      </c>
      <c r="O28" s="136" t="n"/>
    </row>
    <row r="29">
      <c r="A29" s="106">
        <f>IF(B29="","",ROW()-12)</f>
        <v/>
      </c>
      <c r="B29" s="129" t="n"/>
      <c r="C29" s="106">
        <f>IF(B29="","","Q"&amp;ROUNDUP(MONTH(B29)/3,0))</f>
        <v/>
      </c>
      <c r="D29" s="130" t="n"/>
      <c r="E29" s="131" t="n"/>
      <c r="F29" s="131" t="n"/>
      <c r="G29" s="131" t="n"/>
      <c r="H29" s="132">
        <f>IF(G29="","",IFERROR(VLOOKUP(G29,Rate!$A$4:$B$7,2,FALSE),""))</f>
        <v/>
      </c>
      <c r="I29" s="133" t="n"/>
      <c r="J29" s="108">
        <f>IF(H29="","",H29*(1-IF(I29="",0,I29)))</f>
        <v/>
      </c>
      <c r="K29" s="131" t="n"/>
      <c r="L29" s="131" t="n"/>
      <c r="M29" s="35">
        <f>IF(G29="","",IFERROR(IF(E29="ต่ออายุ",VLOOKUP(G29,Rate!$A$4:$E$7,5,FALSE),VLOOKUP(G29,Rate!$A$4:$C$7,3,FALSE)),""))</f>
        <v/>
      </c>
      <c r="N29" s="36">
        <f>IF(OR(J29="",M29=""),"",J29*M29)</f>
        <v/>
      </c>
      <c r="O29" s="131" t="n"/>
    </row>
    <row r="30">
      <c r="A30" s="89">
        <f>IF(B30="","",ROW()-12)</f>
        <v/>
      </c>
      <c r="B30" s="134" t="n"/>
      <c r="C30" s="89">
        <f>IF(B30="","","Q"&amp;ROUNDUP(MONTH(B30)/3,0))</f>
        <v/>
      </c>
      <c r="D30" s="135" t="n"/>
      <c r="E30" s="136" t="n"/>
      <c r="F30" s="136" t="n"/>
      <c r="G30" s="136" t="n"/>
      <c r="H30" s="137">
        <f>IF(G30="","",IFERROR(VLOOKUP(G30,Rate!$A$4:$B$7,2,FALSE),""))</f>
        <v/>
      </c>
      <c r="I30" s="138" t="n"/>
      <c r="J30" s="40">
        <f>IF(H30="","",H30*(1-IF(I30="",0,I30)))</f>
        <v/>
      </c>
      <c r="K30" s="136" t="n"/>
      <c r="L30" s="136" t="n"/>
      <c r="M30" s="41">
        <f>IF(G30="","",IFERROR(IF(E30="ต่ออายุ",VLOOKUP(G30,Rate!$A$4:$E$7,5,FALSE),VLOOKUP(G30,Rate!$A$4:$C$7,3,FALSE)),""))</f>
        <v/>
      </c>
      <c r="N30" s="42">
        <f>IF(OR(J30="",M30=""),"",J30*M30)</f>
        <v/>
      </c>
      <c r="O30" s="136" t="n"/>
    </row>
    <row r="31">
      <c r="A31" s="106">
        <f>IF(B31="","",ROW()-12)</f>
        <v/>
      </c>
      <c r="B31" s="129" t="n"/>
      <c r="C31" s="106">
        <f>IF(B31="","","Q"&amp;ROUNDUP(MONTH(B31)/3,0))</f>
        <v/>
      </c>
      <c r="D31" s="130" t="n"/>
      <c r="E31" s="131" t="n"/>
      <c r="F31" s="131" t="n"/>
      <c r="G31" s="131" t="n"/>
      <c r="H31" s="132">
        <f>IF(G31="","",IFERROR(VLOOKUP(G31,Rate!$A$4:$B$7,2,FALSE),""))</f>
        <v/>
      </c>
      <c r="I31" s="133" t="n"/>
      <c r="J31" s="108">
        <f>IF(H31="","",H31*(1-IF(I31="",0,I31)))</f>
        <v/>
      </c>
      <c r="K31" s="131" t="n"/>
      <c r="L31" s="131" t="n"/>
      <c r="M31" s="35">
        <f>IF(G31="","",IFERROR(IF(E31="ต่ออายุ",VLOOKUP(G31,Rate!$A$4:$E$7,5,FALSE),VLOOKUP(G31,Rate!$A$4:$C$7,3,FALSE)),""))</f>
        <v/>
      </c>
      <c r="N31" s="36">
        <f>IF(OR(J31="",M31=""),"",J31*M31)</f>
        <v/>
      </c>
      <c r="O31" s="131" t="n"/>
    </row>
    <row r="32">
      <c r="A32" s="89">
        <f>IF(B32="","",ROW()-12)</f>
        <v/>
      </c>
      <c r="B32" s="134" t="n"/>
      <c r="C32" s="89">
        <f>IF(B32="","","Q"&amp;ROUNDUP(MONTH(B32)/3,0))</f>
        <v/>
      </c>
      <c r="D32" s="135" t="n"/>
      <c r="E32" s="136" t="n"/>
      <c r="F32" s="136" t="n"/>
      <c r="G32" s="136" t="n"/>
      <c r="H32" s="137">
        <f>IF(G32="","",IFERROR(VLOOKUP(G32,Rate!$A$4:$B$7,2,FALSE),""))</f>
        <v/>
      </c>
      <c r="I32" s="138" t="n"/>
      <c r="J32" s="40">
        <f>IF(H32="","",H32*(1-IF(I32="",0,I32)))</f>
        <v/>
      </c>
      <c r="K32" s="136" t="n"/>
      <c r="L32" s="136" t="n"/>
      <c r="M32" s="41">
        <f>IF(G32="","",IFERROR(IF(E32="ต่ออายุ",VLOOKUP(G32,Rate!$A$4:$E$7,5,FALSE),VLOOKUP(G32,Rate!$A$4:$C$7,3,FALSE)),""))</f>
        <v/>
      </c>
      <c r="N32" s="42">
        <f>IF(OR(J32="",M32=""),"",J32*M32)</f>
        <v/>
      </c>
      <c r="O32" s="136" t="n"/>
    </row>
    <row r="33">
      <c r="A33" s="106">
        <f>IF(B33="","",ROW()-12)</f>
        <v/>
      </c>
      <c r="B33" s="129" t="n"/>
      <c r="C33" s="106">
        <f>IF(B33="","","Q"&amp;ROUNDUP(MONTH(B33)/3,0))</f>
        <v/>
      </c>
      <c r="D33" s="130" t="n"/>
      <c r="E33" s="131" t="n"/>
      <c r="F33" s="131" t="n"/>
      <c r="G33" s="131" t="n"/>
      <c r="H33" s="132">
        <f>IF(G33="","",IFERROR(VLOOKUP(G33,Rate!$A$4:$B$7,2,FALSE),""))</f>
        <v/>
      </c>
      <c r="I33" s="133" t="n"/>
      <c r="J33" s="108">
        <f>IF(H33="","",H33*(1-IF(I33="",0,I33)))</f>
        <v/>
      </c>
      <c r="K33" s="131" t="n"/>
      <c r="L33" s="131" t="n"/>
      <c r="M33" s="35">
        <f>IF(G33="","",IFERROR(IF(E33="ต่ออายุ",VLOOKUP(G33,Rate!$A$4:$E$7,5,FALSE),VLOOKUP(G33,Rate!$A$4:$C$7,3,FALSE)),""))</f>
        <v/>
      </c>
      <c r="N33" s="36">
        <f>IF(OR(J33="",M33=""),"",J33*M33)</f>
        <v/>
      </c>
      <c r="O33" s="131" t="n"/>
    </row>
    <row r="34">
      <c r="A34" s="89">
        <f>IF(B34="","",ROW()-12)</f>
        <v/>
      </c>
      <c r="B34" s="134" t="n"/>
      <c r="C34" s="89">
        <f>IF(B34="","","Q"&amp;ROUNDUP(MONTH(B34)/3,0))</f>
        <v/>
      </c>
      <c r="D34" s="135" t="n"/>
      <c r="E34" s="136" t="n"/>
      <c r="F34" s="136" t="n"/>
      <c r="G34" s="136" t="n"/>
      <c r="H34" s="137">
        <f>IF(G34="","",IFERROR(VLOOKUP(G34,Rate!$A$4:$B$7,2,FALSE),""))</f>
        <v/>
      </c>
      <c r="I34" s="138" t="n"/>
      <c r="J34" s="40">
        <f>IF(H34="","",H34*(1-IF(I34="",0,I34)))</f>
        <v/>
      </c>
      <c r="K34" s="136" t="n"/>
      <c r="L34" s="136" t="n"/>
      <c r="M34" s="41">
        <f>IF(G34="","",IFERROR(IF(E34="ต่ออายุ",VLOOKUP(G34,Rate!$A$4:$E$7,5,FALSE),VLOOKUP(G34,Rate!$A$4:$C$7,3,FALSE)),""))</f>
        <v/>
      </c>
      <c r="N34" s="42">
        <f>IF(OR(J34="",M34=""),"",J34*M34)</f>
        <v/>
      </c>
      <c r="O34" s="136" t="n"/>
    </row>
    <row r="35">
      <c r="A35" s="106">
        <f>IF(B35="","",ROW()-12)</f>
        <v/>
      </c>
      <c r="B35" s="129" t="n"/>
      <c r="C35" s="106">
        <f>IF(B35="","","Q"&amp;ROUNDUP(MONTH(B35)/3,0))</f>
        <v/>
      </c>
      <c r="D35" s="130" t="n"/>
      <c r="E35" s="131" t="n"/>
      <c r="F35" s="131" t="n"/>
      <c r="G35" s="131" t="n"/>
      <c r="H35" s="132">
        <f>IF(G35="","",IFERROR(VLOOKUP(G35,Rate!$A$4:$B$7,2,FALSE),""))</f>
        <v/>
      </c>
      <c r="I35" s="133" t="n"/>
      <c r="J35" s="108">
        <f>IF(H35="","",H35*(1-IF(I35="",0,I35)))</f>
        <v/>
      </c>
      <c r="K35" s="131" t="n"/>
      <c r="L35" s="131" t="n"/>
      <c r="M35" s="35">
        <f>IF(G35="","",IFERROR(IF(E35="ต่ออายุ",VLOOKUP(G35,Rate!$A$4:$E$7,5,FALSE),VLOOKUP(G35,Rate!$A$4:$C$7,3,FALSE)),""))</f>
        <v/>
      </c>
      <c r="N35" s="36">
        <f>IF(OR(J35="",M35=""),"",J35*M35)</f>
        <v/>
      </c>
      <c r="O35" s="131" t="n"/>
    </row>
    <row r="36">
      <c r="A36" s="89">
        <f>IF(B36="","",ROW()-12)</f>
        <v/>
      </c>
      <c r="B36" s="134" t="n"/>
      <c r="C36" s="89">
        <f>IF(B36="","","Q"&amp;ROUNDUP(MONTH(B36)/3,0))</f>
        <v/>
      </c>
      <c r="D36" s="135" t="n"/>
      <c r="E36" s="136" t="n"/>
      <c r="F36" s="136" t="n"/>
      <c r="G36" s="136" t="n"/>
      <c r="H36" s="137">
        <f>IF(G36="","",IFERROR(VLOOKUP(G36,Rate!$A$4:$B$7,2,FALSE),""))</f>
        <v/>
      </c>
      <c r="I36" s="138" t="n"/>
      <c r="J36" s="40">
        <f>IF(H36="","",H36*(1-IF(I36="",0,I36)))</f>
        <v/>
      </c>
      <c r="K36" s="136" t="n"/>
      <c r="L36" s="136" t="n"/>
      <c r="M36" s="41">
        <f>IF(G36="","",IFERROR(IF(E36="ต่ออายุ",VLOOKUP(G36,Rate!$A$4:$E$7,5,FALSE),VLOOKUP(G36,Rate!$A$4:$C$7,3,FALSE)),""))</f>
        <v/>
      </c>
      <c r="N36" s="42">
        <f>IF(OR(J36="",M36=""),"",J36*M36)</f>
        <v/>
      </c>
      <c r="O36" s="136" t="n"/>
    </row>
    <row r="37">
      <c r="A37" s="106">
        <f>IF(B37="","",ROW()-12)</f>
        <v/>
      </c>
      <c r="B37" s="129" t="n"/>
      <c r="C37" s="106">
        <f>IF(B37="","","Q"&amp;ROUNDUP(MONTH(B37)/3,0))</f>
        <v/>
      </c>
      <c r="D37" s="130" t="n"/>
      <c r="E37" s="131" t="n"/>
      <c r="F37" s="131" t="n"/>
      <c r="G37" s="131" t="n"/>
      <c r="H37" s="132">
        <f>IF(G37="","",IFERROR(VLOOKUP(G37,Rate!$A$4:$B$7,2,FALSE),""))</f>
        <v/>
      </c>
      <c r="I37" s="133" t="n"/>
      <c r="J37" s="108">
        <f>IF(H37="","",H37*(1-IF(I37="",0,I37)))</f>
        <v/>
      </c>
      <c r="K37" s="131" t="n"/>
      <c r="L37" s="131" t="n"/>
      <c r="M37" s="35">
        <f>IF(G37="","",IFERROR(IF(E37="ต่ออายุ",VLOOKUP(G37,Rate!$A$4:$E$7,5,FALSE),VLOOKUP(G37,Rate!$A$4:$C$7,3,FALSE)),""))</f>
        <v/>
      </c>
      <c r="N37" s="36">
        <f>IF(OR(J37="",M37=""),"",J37*M37)</f>
        <v/>
      </c>
      <c r="O37" s="131" t="n"/>
    </row>
    <row r="38">
      <c r="A38" s="89">
        <f>IF(B38="","",ROW()-12)</f>
        <v/>
      </c>
      <c r="B38" s="134" t="n"/>
      <c r="C38" s="89">
        <f>IF(B38="","","Q"&amp;ROUNDUP(MONTH(B38)/3,0))</f>
        <v/>
      </c>
      <c r="D38" s="135" t="n"/>
      <c r="E38" s="136" t="n"/>
      <c r="F38" s="136" t="n"/>
      <c r="G38" s="136" t="n"/>
      <c r="H38" s="137">
        <f>IF(G38="","",IFERROR(VLOOKUP(G38,Rate!$A$4:$B$7,2,FALSE),""))</f>
        <v/>
      </c>
      <c r="I38" s="138" t="n"/>
      <c r="J38" s="40">
        <f>IF(H38="","",H38*(1-IF(I38="",0,I38)))</f>
        <v/>
      </c>
      <c r="K38" s="136" t="n"/>
      <c r="L38" s="136" t="n"/>
      <c r="M38" s="41">
        <f>IF(G38="","",IFERROR(IF(E38="ต่ออายุ",VLOOKUP(G38,Rate!$A$4:$E$7,5,FALSE),VLOOKUP(G38,Rate!$A$4:$C$7,3,FALSE)),""))</f>
        <v/>
      </c>
      <c r="N38" s="42">
        <f>IF(OR(J38="",M38=""),"",J38*M38)</f>
        <v/>
      </c>
      <c r="O38" s="136" t="n"/>
    </row>
    <row r="39">
      <c r="A39" s="106">
        <f>IF(B39="","",ROW()-12)</f>
        <v/>
      </c>
      <c r="B39" s="129" t="n"/>
      <c r="C39" s="106">
        <f>IF(B39="","","Q"&amp;ROUNDUP(MONTH(B39)/3,0))</f>
        <v/>
      </c>
      <c r="D39" s="130" t="n"/>
      <c r="E39" s="131" t="n"/>
      <c r="F39" s="131" t="n"/>
      <c r="G39" s="131" t="n"/>
      <c r="H39" s="132">
        <f>IF(G39="","",IFERROR(VLOOKUP(G39,Rate!$A$4:$B$7,2,FALSE),""))</f>
        <v/>
      </c>
      <c r="I39" s="133" t="n"/>
      <c r="J39" s="108">
        <f>IF(H39="","",H39*(1-IF(I39="",0,I39)))</f>
        <v/>
      </c>
      <c r="K39" s="131" t="n"/>
      <c r="L39" s="131" t="n"/>
      <c r="M39" s="35">
        <f>IF(G39="","",IFERROR(IF(E39="ต่ออายุ",VLOOKUP(G39,Rate!$A$4:$E$7,5,FALSE),VLOOKUP(G39,Rate!$A$4:$C$7,3,FALSE)),""))</f>
        <v/>
      </c>
      <c r="N39" s="36">
        <f>IF(OR(J39="",M39=""),"",J39*M39)</f>
        <v/>
      </c>
      <c r="O39" s="131" t="n"/>
    </row>
    <row r="40">
      <c r="A40" s="89">
        <f>IF(B40="","",ROW()-12)</f>
        <v/>
      </c>
      <c r="B40" s="134" t="n"/>
      <c r="C40" s="89">
        <f>IF(B40="","","Q"&amp;ROUNDUP(MONTH(B40)/3,0))</f>
        <v/>
      </c>
      <c r="D40" s="135" t="n"/>
      <c r="E40" s="136" t="n"/>
      <c r="F40" s="136" t="n"/>
      <c r="G40" s="136" t="n"/>
      <c r="H40" s="137">
        <f>IF(G40="","",IFERROR(VLOOKUP(G40,Rate!$A$4:$B$7,2,FALSE),""))</f>
        <v/>
      </c>
      <c r="I40" s="138" t="n"/>
      <c r="J40" s="40">
        <f>IF(H40="","",H40*(1-IF(I40="",0,I40)))</f>
        <v/>
      </c>
      <c r="K40" s="136" t="n"/>
      <c r="L40" s="136" t="n"/>
      <c r="M40" s="41">
        <f>IF(G40="","",IFERROR(IF(E40="ต่ออายุ",VLOOKUP(G40,Rate!$A$4:$E$7,5,FALSE),VLOOKUP(G40,Rate!$A$4:$C$7,3,FALSE)),""))</f>
        <v/>
      </c>
      <c r="N40" s="42">
        <f>IF(OR(J40="",M40=""),"",J40*M40)</f>
        <v/>
      </c>
      <c r="O40" s="136" t="n"/>
    </row>
    <row r="41">
      <c r="A41" s="106">
        <f>IF(B41="","",ROW()-12)</f>
        <v/>
      </c>
      <c r="B41" s="129" t="n"/>
      <c r="C41" s="106">
        <f>IF(B41="","","Q"&amp;ROUNDUP(MONTH(B41)/3,0))</f>
        <v/>
      </c>
      <c r="D41" s="130" t="n"/>
      <c r="E41" s="131" t="n"/>
      <c r="F41" s="131" t="n"/>
      <c r="G41" s="131" t="n"/>
      <c r="H41" s="132">
        <f>IF(G41="","",IFERROR(VLOOKUP(G41,Rate!$A$4:$B$7,2,FALSE),""))</f>
        <v/>
      </c>
      <c r="I41" s="133" t="n"/>
      <c r="J41" s="108">
        <f>IF(H41="","",H41*(1-IF(I41="",0,I41)))</f>
        <v/>
      </c>
      <c r="K41" s="131" t="n"/>
      <c r="L41" s="131" t="n"/>
      <c r="M41" s="35">
        <f>IF(G41="","",IFERROR(IF(E41="ต่ออายุ",VLOOKUP(G41,Rate!$A$4:$E$7,5,FALSE),VLOOKUP(G41,Rate!$A$4:$C$7,3,FALSE)),""))</f>
        <v/>
      </c>
      <c r="N41" s="36">
        <f>IF(OR(J41="",M41=""),"",J41*M41)</f>
        <v/>
      </c>
      <c r="O41" s="131" t="n"/>
    </row>
    <row r="42">
      <c r="A42" s="89">
        <f>IF(B42="","",ROW()-12)</f>
        <v/>
      </c>
      <c r="B42" s="134" t="n"/>
      <c r="C42" s="89">
        <f>IF(B42="","","Q"&amp;ROUNDUP(MONTH(B42)/3,0))</f>
        <v/>
      </c>
      <c r="D42" s="135" t="n"/>
      <c r="E42" s="136" t="n"/>
      <c r="F42" s="136" t="n"/>
      <c r="G42" s="136" t="n"/>
      <c r="H42" s="137">
        <f>IF(G42="","",IFERROR(VLOOKUP(G42,Rate!$A$4:$B$7,2,FALSE),""))</f>
        <v/>
      </c>
      <c r="I42" s="138" t="n"/>
      <c r="J42" s="40">
        <f>IF(H42="","",H42*(1-IF(I42="",0,I42)))</f>
        <v/>
      </c>
      <c r="K42" s="136" t="n"/>
      <c r="L42" s="136" t="n"/>
      <c r="M42" s="41">
        <f>IF(G42="","",IFERROR(IF(E42="ต่ออายุ",VLOOKUP(G42,Rate!$A$4:$E$7,5,FALSE),VLOOKUP(G42,Rate!$A$4:$C$7,3,FALSE)),""))</f>
        <v/>
      </c>
      <c r="N42" s="42">
        <f>IF(OR(J42="",M42=""),"",J42*M42)</f>
        <v/>
      </c>
      <c r="O42" s="136" t="n"/>
    </row>
    <row r="43">
      <c r="A43" s="106">
        <f>IF(B43="","",ROW()-12)</f>
        <v/>
      </c>
      <c r="B43" s="129" t="n"/>
      <c r="C43" s="106">
        <f>IF(B43="","","Q"&amp;ROUNDUP(MONTH(B43)/3,0))</f>
        <v/>
      </c>
      <c r="D43" s="130" t="n"/>
      <c r="E43" s="131" t="n"/>
      <c r="F43" s="131" t="n"/>
      <c r="G43" s="131" t="n"/>
      <c r="H43" s="132">
        <f>IF(G43="","",IFERROR(VLOOKUP(G43,Rate!$A$4:$B$7,2,FALSE),""))</f>
        <v/>
      </c>
      <c r="I43" s="133" t="n"/>
      <c r="J43" s="108">
        <f>IF(H43="","",H43*(1-IF(I43="",0,I43)))</f>
        <v/>
      </c>
      <c r="K43" s="131" t="n"/>
      <c r="L43" s="131" t="n"/>
      <c r="M43" s="35">
        <f>IF(G43="","",IFERROR(IF(E43="ต่ออายุ",VLOOKUP(G43,Rate!$A$4:$E$7,5,FALSE),VLOOKUP(G43,Rate!$A$4:$C$7,3,FALSE)),""))</f>
        <v/>
      </c>
      <c r="N43" s="36">
        <f>IF(OR(J43="",M43=""),"",J43*M43)</f>
        <v/>
      </c>
      <c r="O43" s="131" t="n"/>
    </row>
    <row r="44">
      <c r="A44" s="89">
        <f>IF(B44="","",ROW()-12)</f>
        <v/>
      </c>
      <c r="B44" s="134" t="n"/>
      <c r="C44" s="89">
        <f>IF(B44="","","Q"&amp;ROUNDUP(MONTH(B44)/3,0))</f>
        <v/>
      </c>
      <c r="D44" s="135" t="n"/>
      <c r="E44" s="136" t="n"/>
      <c r="F44" s="136" t="n"/>
      <c r="G44" s="136" t="n"/>
      <c r="H44" s="137">
        <f>IF(G44="","",IFERROR(VLOOKUP(G44,Rate!$A$4:$B$7,2,FALSE),""))</f>
        <v/>
      </c>
      <c r="I44" s="138" t="n"/>
      <c r="J44" s="40">
        <f>IF(H44="","",H44*(1-IF(I44="",0,I44)))</f>
        <v/>
      </c>
      <c r="K44" s="136" t="n"/>
      <c r="L44" s="136" t="n"/>
      <c r="M44" s="41">
        <f>IF(G44="","",IFERROR(IF(E44="ต่ออายุ",VLOOKUP(G44,Rate!$A$4:$E$7,5,FALSE),VLOOKUP(G44,Rate!$A$4:$C$7,3,FALSE)),""))</f>
        <v/>
      </c>
      <c r="N44" s="42">
        <f>IF(OR(J44="",M44=""),"",J44*M44)</f>
        <v/>
      </c>
      <c r="O44" s="136" t="n"/>
    </row>
    <row r="45">
      <c r="A45" s="106">
        <f>IF(B45="","",ROW()-12)</f>
        <v/>
      </c>
      <c r="B45" s="129" t="n"/>
      <c r="C45" s="106">
        <f>IF(B45="","","Q"&amp;ROUNDUP(MONTH(B45)/3,0))</f>
        <v/>
      </c>
      <c r="D45" s="130" t="n"/>
      <c r="E45" s="131" t="n"/>
      <c r="F45" s="131" t="n"/>
      <c r="G45" s="131" t="n"/>
      <c r="H45" s="132">
        <f>IF(G45="","",IFERROR(VLOOKUP(G45,Rate!$A$4:$B$7,2,FALSE),""))</f>
        <v/>
      </c>
      <c r="I45" s="133" t="n"/>
      <c r="J45" s="108">
        <f>IF(H45="","",H45*(1-IF(I45="",0,I45)))</f>
        <v/>
      </c>
      <c r="K45" s="131" t="n"/>
      <c r="L45" s="131" t="n"/>
      <c r="M45" s="35">
        <f>IF(G45="","",IFERROR(IF(E45="ต่ออายุ",VLOOKUP(G45,Rate!$A$4:$E$7,5,FALSE),VLOOKUP(G45,Rate!$A$4:$C$7,3,FALSE)),""))</f>
        <v/>
      </c>
      <c r="N45" s="36">
        <f>IF(OR(J45="",M45=""),"",J45*M45)</f>
        <v/>
      </c>
      <c r="O45" s="131" t="n"/>
    </row>
    <row r="46">
      <c r="A46" s="89">
        <f>IF(B46="","",ROW()-12)</f>
        <v/>
      </c>
      <c r="B46" s="134" t="n"/>
      <c r="C46" s="89">
        <f>IF(B46="","","Q"&amp;ROUNDUP(MONTH(B46)/3,0))</f>
        <v/>
      </c>
      <c r="D46" s="135" t="n"/>
      <c r="E46" s="136" t="n"/>
      <c r="F46" s="136" t="n"/>
      <c r="G46" s="136" t="n"/>
      <c r="H46" s="137">
        <f>IF(G46="","",IFERROR(VLOOKUP(G46,Rate!$A$4:$B$7,2,FALSE),""))</f>
        <v/>
      </c>
      <c r="I46" s="138" t="n"/>
      <c r="J46" s="40">
        <f>IF(H46="","",H46*(1-IF(I46="",0,I46)))</f>
        <v/>
      </c>
      <c r="K46" s="136" t="n"/>
      <c r="L46" s="136" t="n"/>
      <c r="M46" s="41">
        <f>IF(G46="","",IFERROR(IF(E46="ต่ออายุ",VLOOKUP(G46,Rate!$A$4:$E$7,5,FALSE),VLOOKUP(G46,Rate!$A$4:$C$7,3,FALSE)),""))</f>
        <v/>
      </c>
      <c r="N46" s="42">
        <f>IF(OR(J46="",M46=""),"",J46*M46)</f>
        <v/>
      </c>
      <c r="O46" s="136" t="n"/>
    </row>
    <row r="47">
      <c r="A47" s="106">
        <f>IF(B47="","",ROW()-12)</f>
        <v/>
      </c>
      <c r="B47" s="129" t="n"/>
      <c r="C47" s="106">
        <f>IF(B47="","","Q"&amp;ROUNDUP(MONTH(B47)/3,0))</f>
        <v/>
      </c>
      <c r="D47" s="130" t="n"/>
      <c r="E47" s="131" t="n"/>
      <c r="F47" s="131" t="n"/>
      <c r="G47" s="131" t="n"/>
      <c r="H47" s="132">
        <f>IF(G47="","",IFERROR(VLOOKUP(G47,Rate!$A$4:$B$7,2,FALSE),""))</f>
        <v/>
      </c>
      <c r="I47" s="133" t="n"/>
      <c r="J47" s="108">
        <f>IF(H47="","",H47*(1-IF(I47="",0,I47)))</f>
        <v/>
      </c>
      <c r="K47" s="131" t="n"/>
      <c r="L47" s="131" t="n"/>
      <c r="M47" s="35">
        <f>IF(G47="","",IFERROR(IF(E47="ต่ออายุ",VLOOKUP(G47,Rate!$A$4:$E$7,5,FALSE),VLOOKUP(G47,Rate!$A$4:$C$7,3,FALSE)),""))</f>
        <v/>
      </c>
      <c r="N47" s="36">
        <f>IF(OR(J47="",M47=""),"",J47*M47)</f>
        <v/>
      </c>
      <c r="O47" s="131" t="n"/>
    </row>
    <row r="48">
      <c r="A48" s="89">
        <f>IF(B48="","",ROW()-12)</f>
        <v/>
      </c>
      <c r="B48" s="134" t="n"/>
      <c r="C48" s="89">
        <f>IF(B48="","","Q"&amp;ROUNDUP(MONTH(B48)/3,0))</f>
        <v/>
      </c>
      <c r="D48" s="135" t="n"/>
      <c r="E48" s="136" t="n"/>
      <c r="F48" s="136" t="n"/>
      <c r="G48" s="136" t="n"/>
      <c r="H48" s="137">
        <f>IF(G48="","",IFERROR(VLOOKUP(G48,Rate!$A$4:$B$7,2,FALSE),""))</f>
        <v/>
      </c>
      <c r="I48" s="138" t="n"/>
      <c r="J48" s="40">
        <f>IF(H48="","",H48*(1-IF(I48="",0,I48)))</f>
        <v/>
      </c>
      <c r="K48" s="136" t="n"/>
      <c r="L48" s="136" t="n"/>
      <c r="M48" s="41">
        <f>IF(G48="","",IFERROR(IF(E48="ต่ออายุ",VLOOKUP(G48,Rate!$A$4:$E$7,5,FALSE),VLOOKUP(G48,Rate!$A$4:$C$7,3,FALSE)),""))</f>
        <v/>
      </c>
      <c r="N48" s="42">
        <f>IF(OR(J48="",M48=""),"",J48*M48)</f>
        <v/>
      </c>
      <c r="O48" s="136" t="n"/>
    </row>
    <row r="49">
      <c r="A49" s="106">
        <f>IF(B49="","",ROW()-12)</f>
        <v/>
      </c>
      <c r="B49" s="129" t="n"/>
      <c r="C49" s="106">
        <f>IF(B49="","","Q"&amp;ROUNDUP(MONTH(B49)/3,0))</f>
        <v/>
      </c>
      <c r="D49" s="130" t="n"/>
      <c r="E49" s="131" t="n"/>
      <c r="F49" s="131" t="n"/>
      <c r="G49" s="131" t="n"/>
      <c r="H49" s="132">
        <f>IF(G49="","",IFERROR(VLOOKUP(G49,Rate!$A$4:$B$7,2,FALSE),""))</f>
        <v/>
      </c>
      <c r="I49" s="133" t="n"/>
      <c r="J49" s="108">
        <f>IF(H49="","",H49*(1-IF(I49="",0,I49)))</f>
        <v/>
      </c>
      <c r="K49" s="131" t="n"/>
      <c r="L49" s="131" t="n"/>
      <c r="M49" s="35">
        <f>IF(G49="","",IFERROR(IF(E49="ต่ออายุ",VLOOKUP(G49,Rate!$A$4:$E$7,5,FALSE),VLOOKUP(G49,Rate!$A$4:$C$7,3,FALSE)),""))</f>
        <v/>
      </c>
      <c r="N49" s="36">
        <f>IF(OR(J49="",M49=""),"",J49*M49)</f>
        <v/>
      </c>
      <c r="O49" s="131" t="n"/>
    </row>
    <row r="50">
      <c r="A50" s="89">
        <f>IF(B50="","",ROW()-12)</f>
        <v/>
      </c>
      <c r="B50" s="134" t="n"/>
      <c r="C50" s="89">
        <f>IF(B50="","","Q"&amp;ROUNDUP(MONTH(B50)/3,0))</f>
        <v/>
      </c>
      <c r="D50" s="135" t="n"/>
      <c r="E50" s="136" t="n"/>
      <c r="F50" s="136" t="n"/>
      <c r="G50" s="136" t="n"/>
      <c r="H50" s="137">
        <f>IF(G50="","",IFERROR(VLOOKUP(G50,Rate!$A$4:$B$7,2,FALSE),""))</f>
        <v/>
      </c>
      <c r="I50" s="138" t="n"/>
      <c r="J50" s="40">
        <f>IF(H50="","",H50*(1-IF(I50="",0,I50)))</f>
        <v/>
      </c>
      <c r="K50" s="136" t="n"/>
      <c r="L50" s="136" t="n"/>
      <c r="M50" s="41">
        <f>IF(G50="","",IFERROR(IF(E50="ต่ออายุ",VLOOKUP(G50,Rate!$A$4:$E$7,5,FALSE),VLOOKUP(G50,Rate!$A$4:$C$7,3,FALSE)),""))</f>
        <v/>
      </c>
      <c r="N50" s="42">
        <f>IF(OR(J50="",M50=""),"",J50*M50)</f>
        <v/>
      </c>
      <c r="O50" s="136" t="n"/>
    </row>
    <row r="51">
      <c r="A51" s="106">
        <f>IF(B51="","",ROW()-12)</f>
        <v/>
      </c>
      <c r="B51" s="129" t="n"/>
      <c r="C51" s="106">
        <f>IF(B51="","","Q"&amp;ROUNDUP(MONTH(B51)/3,0))</f>
        <v/>
      </c>
      <c r="D51" s="130" t="n"/>
      <c r="E51" s="131" t="n"/>
      <c r="F51" s="131" t="n"/>
      <c r="G51" s="131" t="n"/>
      <c r="H51" s="132">
        <f>IF(G51="","",IFERROR(VLOOKUP(G51,Rate!$A$4:$B$7,2,FALSE),""))</f>
        <v/>
      </c>
      <c r="I51" s="133" t="n"/>
      <c r="J51" s="108">
        <f>IF(H51="","",H51*(1-IF(I51="",0,I51)))</f>
        <v/>
      </c>
      <c r="K51" s="131" t="n"/>
      <c r="L51" s="131" t="n"/>
      <c r="M51" s="35">
        <f>IF(G51="","",IFERROR(IF(E51="ต่ออายุ",VLOOKUP(G51,Rate!$A$4:$E$7,5,FALSE),VLOOKUP(G51,Rate!$A$4:$C$7,3,FALSE)),""))</f>
        <v/>
      </c>
      <c r="N51" s="36">
        <f>IF(OR(J51="",M51=""),"",J51*M51)</f>
        <v/>
      </c>
      <c r="O51" s="131" t="n"/>
    </row>
    <row r="52">
      <c r="A52" s="89">
        <f>IF(B52="","",ROW()-12)</f>
        <v/>
      </c>
      <c r="B52" s="134" t="n"/>
      <c r="C52" s="89">
        <f>IF(B52="","","Q"&amp;ROUNDUP(MONTH(B52)/3,0))</f>
        <v/>
      </c>
      <c r="D52" s="135" t="n"/>
      <c r="E52" s="136" t="n"/>
      <c r="F52" s="136" t="n"/>
      <c r="G52" s="136" t="n"/>
      <c r="H52" s="137">
        <f>IF(G52="","",IFERROR(VLOOKUP(G52,Rate!$A$4:$B$7,2,FALSE),""))</f>
        <v/>
      </c>
      <c r="I52" s="138" t="n"/>
      <c r="J52" s="40">
        <f>IF(H52="","",H52*(1-IF(I52="",0,I52)))</f>
        <v/>
      </c>
      <c r="K52" s="136" t="n"/>
      <c r="L52" s="136" t="n"/>
      <c r="M52" s="41">
        <f>IF(G52="","",IFERROR(IF(E52="ต่ออายุ",VLOOKUP(G52,Rate!$A$4:$E$7,5,FALSE),VLOOKUP(G52,Rate!$A$4:$C$7,3,FALSE)),""))</f>
        <v/>
      </c>
      <c r="N52" s="42">
        <f>IF(OR(J52="",M52=""),"",J52*M52)</f>
        <v/>
      </c>
      <c r="O52" s="136" t="n"/>
    </row>
    <row r="53" ht="20" customHeight="1">
      <c r="A53" s="43" t="n"/>
      <c r="B53" s="43" t="n"/>
      <c r="C53" s="43" t="n"/>
      <c r="D53" s="43" t="n"/>
      <c r="E53" s="43" t="n"/>
      <c r="F53" s="43" t="n"/>
      <c r="G53" s="121" t="inlineStr">
        <is>
          <t>รวม</t>
        </is>
      </c>
      <c r="H53" s="124">
        <f>SUM(H13:H52)</f>
        <v/>
      </c>
      <c r="I53" s="43" t="n"/>
      <c r="J53" s="124">
        <f>SUM(J13:J52)</f>
        <v/>
      </c>
      <c r="L53" s="43" t="n"/>
      <c r="M53" s="43" t="n"/>
      <c r="N53" s="124">
        <f>SUM(M13:M52)</f>
        <v/>
      </c>
      <c r="O53" s="43" t="n"/>
    </row>
    <row r="55" ht="18" customHeight="1">
      <c r="A55" s="128" t="inlineStr">
        <is>
          <t>หมายเหตุ / วิธีใช้ — แท็บนี้ใช้บันทึกดีลขายจริง</t>
        </is>
      </c>
      <c r="B55" s="126" t="n"/>
      <c r="C55" s="126" t="n"/>
      <c r="D55" s="126" t="n"/>
      <c r="E55" s="126" t="n"/>
      <c r="F55" s="126" t="n"/>
      <c r="G55" s="126" t="n"/>
      <c r="H55" s="126" t="n"/>
      <c r="I55" s="126" t="n"/>
    </row>
    <row r="56" ht="15" customHeight="1">
      <c r="A56" s="127" t="inlineStr">
        <is>
          <t>• กรอกช่อง: วันที่ · ชื่อลูกค้า · ประเภท (ใหม่/ต่ออายุ) · การชำระเงิน · แพ็กเกจ · ส่วนลด% · จ่ายแบบ · Sales · สถานะจ่าย</t>
        </is>
      </c>
    </row>
    <row r="57" ht="15" customHeight="1">
      <c r="A57" s="127" t="inlineStr">
        <is>
          <t>• ช่องที่เหลือคำนวณอัตโนมัติ: No · ไตรมาส · ราคาเต็ม · รายได้สุทธิ · Rate% · ค่าคอม</t>
        </is>
      </c>
    </row>
    <row r="58" ht="15" customHeight="1">
      <c r="A58" s="127" t="inlineStr">
        <is>
          <t>• จ่ายแบบ 'รายคน' → ใส่ชื่อในช่อง Sales (คนนั้นจะได้รับค่าคอมเต็มตามเรตแพ็กเกจ)</t>
        </is>
      </c>
    </row>
    <row r="59" ht="15" customHeight="1">
      <c r="A59" s="127" t="inlineStr">
        <is>
          <t>• จ่ายแบบ 'ทีม' → เว้นช่อง Sales ว่าง (ค่าคอมจะถูกแบ่งตาม %แบ่งทีม รวม 100%)</t>
        </is>
      </c>
    </row>
    <row r="60" ht="15" customHeight="1">
      <c r="A60" s="127" t="inlineStr">
        <is>
          <t>• Enterprise: พิมพ์ราคาจริงทับช่อง 'ราคาเต็ม' ได้เลย</t>
        </is>
      </c>
    </row>
    <row r="61" ht="15" customHeight="1">
      <c r="A61" s="139" t="inlineStr">
        <is>
          <t>• ช่องที่คำนวณถูกล็อกเพื่อป้องกันการแก้ไขผิดพลาด · ราคาเต็ม (Enterprise) สามารถพิมพ์ทับได้ · ปลดล็อก: Review ▸ Unprotect Sheet (ไม่มีรหัส)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8">
    <mergeCell ref="L7:M7"/>
    <mergeCell ref="N7:O7"/>
    <mergeCell ref="O11"/>
    <mergeCell ref="A56:I56"/>
    <mergeCell ref="A55:I55"/>
    <mergeCell ref="H11:J11"/>
    <mergeCell ref="A57:I57"/>
    <mergeCell ref="C1:J1"/>
    <mergeCell ref="L2:O2"/>
    <mergeCell ref="G4:I4"/>
    <mergeCell ref="G11"/>
    <mergeCell ref="L8:M8"/>
    <mergeCell ref="N8:O8"/>
    <mergeCell ref="E11:F11"/>
    <mergeCell ref="C2:J2"/>
    <mergeCell ref="K11:N11"/>
    <mergeCell ref="D11"/>
    <mergeCell ref="A58:I58"/>
    <mergeCell ref="A1:B2"/>
    <mergeCell ref="A59:I59"/>
    <mergeCell ref="A4:E4"/>
    <mergeCell ref="A11:C11"/>
    <mergeCell ref="A60:I60"/>
    <mergeCell ref="L4:O4"/>
    <mergeCell ref="G8:I8"/>
    <mergeCell ref="A61:I61"/>
    <mergeCell ref="G7:I7"/>
    <mergeCell ref="L1:O1"/>
  </mergeCells>
  <dataValidations count="6">
    <dataValidation sqref="E13:E52" showDropDown="0" showInputMessage="0" showErrorMessage="0" allowBlank="1" type="list">
      <formula1>"ใหม่,ต่ออายุ"</formula1>
    </dataValidation>
    <dataValidation sqref="F13:F52" showDropDown="0" showInputMessage="0" showErrorMessage="0" allowBlank="1" type="list">
      <formula1>"จ่ายแล้ว,รอจ่าย,รอเงินลูกค้า,ยกเลิก"</formula1>
    </dataValidation>
    <dataValidation sqref="G13:G52" showDropDown="0" showInputMessage="0" showErrorMessage="0" allowBlank="1" type="list">
      <formula1>"Starter,Plus,Premium,Enterprise"</formula1>
    </dataValidation>
    <dataValidation sqref="K13:K52" showDropDown="0" showInputMessage="0" showErrorMessage="0" allowBlank="1" type="list">
      <formula1>"รายคน,ทีม"</formula1>
    </dataValidation>
    <dataValidation sqref="L13:L52" showDropDown="0" showInputMessage="0" showErrorMessage="0" allowBlank="1" type="list">
      <formula1>'ทีมขาย'!$A$6:$A$20</formula1>
    </dataValidation>
    <dataValidation sqref="O13:O52" showDropDown="0" showInputMessage="0" showErrorMessage="0" allowBlank="1" type="list">
      <formula1>"รอจ่าย,จ่ายแล้ว"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1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 ht="26" customHeight="1">
      <c r="A1" s="1" t="inlineStr">
        <is>
          <t>EASY
CRM</t>
        </is>
      </c>
      <c r="C1" s="2" t="inlineStr">
        <is>
          <t>TEAM &amp; COMMISSION SPLIT</t>
        </is>
      </c>
    </row>
    <row r="2" ht="18" customHeight="1">
      <c r="C2" s="4" t="inlineStr">
        <is>
          <t>ทีมขาย · ตั้งรายชื่อ + % แบ่งทีม (ใช้เฉพาะดีลแบบทีม)</t>
        </is>
      </c>
    </row>
    <row r="3" ht="16" customHeight="1">
      <c r="A3" s="114" t="inlineStr">
        <is>
          <t>เพิ่ม/แก้รายชื่อได้เลย · 'รายคน' จะได้รับค่าคอมเต็มตามเรตแพ็กเกจ (แท็บ Rate) · 'ทีม' จะหารค่าคอมตาม % แบ่งทีม (ควรรวม = 100%) · เลือกจ่ายแบบไหนต่อดีลในแท็บ Sales_Record</t>
        </is>
      </c>
    </row>
    <row r="5" ht="36" customHeight="1">
      <c r="A5" s="91" t="inlineStr">
        <is>
          <t>ชื่อ Sales</t>
        </is>
      </c>
      <c r="B5" s="91" t="inlineStr">
        <is>
          <t>ตำแหน่ง</t>
        </is>
      </c>
      <c r="C5" s="91" t="inlineStr">
        <is>
          <t>% แบ่งทีม
(รวม=100%)</t>
        </is>
      </c>
      <c r="D5" s="91" t="inlineStr">
        <is>
          <t>ดีลปิดเอง</t>
        </is>
      </c>
      <c r="E5" s="91" t="inlineStr">
        <is>
          <t>รายได้ (THB)</t>
        </is>
      </c>
      <c r="F5" s="91" t="inlineStr">
        <is>
          <t>ค่าคอมรวม (THB)</t>
        </is>
      </c>
      <c r="G5" s="91" t="inlineStr">
        <is>
          <t>จ่ายแล้ว (THB)</t>
        </is>
      </c>
      <c r="H5" s="91" t="inlineStr">
        <is>
          <t>ค้างจ่าย (THB)</t>
        </is>
      </c>
    </row>
    <row r="6">
      <c r="A6" s="140" t="inlineStr">
        <is>
          <t>MIZTEEN</t>
        </is>
      </c>
      <c r="B6" s="141" t="inlineStr">
        <is>
          <t>Sales Executive</t>
        </is>
      </c>
      <c r="C6" s="142" t="n">
        <v>0.5</v>
      </c>
      <c r="D6" s="118">
        <f>IF($A6="","",COUNTIFS(Sales_Record!$L$13:$L$52,$A6,Sales_Record!$K$13:$K$52,"รายคน"))</f>
        <v/>
      </c>
      <c r="E6" s="119">
        <f>IF($A6="","",SUMIFS(Sales_Record!$J$13:$J$52,Sales_Record!$L$13:$L$52,$A6,Sales_Record!$K$13:$K$52,"รายคน")+$C6*SUMIF(Sales_Record!$K$13:$K$52,"ทีม",Sales_Record!$J$13:$J$52))</f>
        <v/>
      </c>
      <c r="F6" s="120">
        <f>IF($A6="","",SUMIFS(Sales_Record!$N$13:$N$52,Sales_Record!$L$13:$L$52,$A6,Sales_Record!$K$13:$K$52,"รายคน")+$C6*SUMIF(Sales_Record!$K$13:$K$52,"ทีม",Sales_Record!$N$13:$N$52))</f>
        <v/>
      </c>
      <c r="G6" s="119">
        <f>IF($A6="","",SUMIFS(Sales_Record!$N$13:$N$52,Sales_Record!$L$13:$L$52,$A6,Sales_Record!$K$13:$K$52,"รายคน",Sales_Record!$O$13:$O$52,"จ่ายแล้ว")+$C6*SUMIFS(Sales_Record!$N$13:$N$52,Sales_Record!$K$13:$K$52,"ทีม",Sales_Record!$O$13:$O$52,"จ่ายแล้ว"))</f>
        <v/>
      </c>
      <c r="H6" s="119">
        <f>IF($A6="","",F6-G6)</f>
        <v/>
      </c>
    </row>
    <row r="7">
      <c r="A7" s="140" t="inlineStr">
        <is>
          <t>OLIVE</t>
        </is>
      </c>
      <c r="B7" s="141" t="inlineStr">
        <is>
          <t>Sales Executive</t>
        </is>
      </c>
      <c r="C7" s="142" t="n">
        <v>0.3</v>
      </c>
      <c r="D7" s="118">
        <f>IF($A7="","",COUNTIFS(Sales_Record!$L$13:$L$52,$A7,Sales_Record!$K$13:$K$52,"รายคน"))</f>
        <v/>
      </c>
      <c r="E7" s="119">
        <f>IF($A7="","",SUMIFS(Sales_Record!$J$13:$J$52,Sales_Record!$L$13:$L$52,$A7,Sales_Record!$K$13:$K$52,"รายคน")+$C7*SUMIF(Sales_Record!$K$13:$K$52,"ทีม",Sales_Record!$J$13:$J$52))</f>
        <v/>
      </c>
      <c r="F7" s="120">
        <f>IF($A7="","",SUMIFS(Sales_Record!$N$13:$N$52,Sales_Record!$L$13:$L$52,$A7,Sales_Record!$K$13:$K$52,"รายคน")+$C7*SUMIF(Sales_Record!$K$13:$K$52,"ทีม",Sales_Record!$N$13:$N$52))</f>
        <v/>
      </c>
      <c r="G7" s="119">
        <f>IF($A7="","",SUMIFS(Sales_Record!$N$13:$N$52,Sales_Record!$L$13:$L$52,$A7,Sales_Record!$K$13:$K$52,"รายคน",Sales_Record!$O$13:$O$52,"จ่ายแล้ว")+$C7*SUMIFS(Sales_Record!$N$13:$N$52,Sales_Record!$K$13:$K$52,"ทีม",Sales_Record!$O$13:$O$52,"จ่ายแล้ว"))</f>
        <v/>
      </c>
      <c r="H7" s="119">
        <f>IF($A7="","",F7-G7)</f>
        <v/>
      </c>
    </row>
    <row r="8">
      <c r="A8" s="140" t="inlineStr">
        <is>
          <t>SUPPORT</t>
        </is>
      </c>
      <c r="B8" s="141" t="inlineStr">
        <is>
          <t>Support / Sales</t>
        </is>
      </c>
      <c r="C8" s="142" t="n">
        <v>0.2</v>
      </c>
      <c r="D8" s="118">
        <f>IF($A8="","",COUNTIFS(Sales_Record!$L$13:$L$52,$A8,Sales_Record!$K$13:$K$52,"รายคน"))</f>
        <v/>
      </c>
      <c r="E8" s="119">
        <f>IF($A8="","",SUMIFS(Sales_Record!$J$13:$J$52,Sales_Record!$L$13:$L$52,$A8,Sales_Record!$K$13:$K$52,"รายคน")+$C8*SUMIF(Sales_Record!$K$13:$K$52,"ทีม",Sales_Record!$J$13:$J$52))</f>
        <v/>
      </c>
      <c r="F8" s="120">
        <f>IF($A8="","",SUMIFS(Sales_Record!$N$13:$N$52,Sales_Record!$L$13:$L$52,$A8,Sales_Record!$K$13:$K$52,"รายคน")+$C8*SUMIF(Sales_Record!$K$13:$K$52,"ทีม",Sales_Record!$N$13:$N$52))</f>
        <v/>
      </c>
      <c r="G8" s="119">
        <f>IF($A8="","",SUMIFS(Sales_Record!$N$13:$N$52,Sales_Record!$L$13:$L$52,$A8,Sales_Record!$K$13:$K$52,"รายคน",Sales_Record!$O$13:$O$52,"จ่ายแล้ว")+$C8*SUMIFS(Sales_Record!$N$13:$N$52,Sales_Record!$K$13:$K$52,"ทีม",Sales_Record!$O$13:$O$52,"จ่ายแล้ว"))</f>
        <v/>
      </c>
      <c r="H8" s="119">
        <f>IF($A8="","",F8-G8)</f>
        <v/>
      </c>
    </row>
    <row r="9">
      <c r="A9" s="140" t="inlineStr"/>
      <c r="B9" s="141" t="inlineStr"/>
      <c r="C9" s="142" t="n"/>
      <c r="D9" s="118">
        <f>IF($A9="","",COUNTIFS(Sales_Record!$L$13:$L$52,$A9,Sales_Record!$K$13:$K$52,"รายคน"))</f>
        <v/>
      </c>
      <c r="E9" s="119">
        <f>IF($A9="","",SUMIFS(Sales_Record!$J$13:$J$52,Sales_Record!$L$13:$L$52,$A9,Sales_Record!$K$13:$K$52,"รายคน")+$C9*SUMIF(Sales_Record!$K$13:$K$52,"ทีม",Sales_Record!$J$13:$J$52))</f>
        <v/>
      </c>
      <c r="F9" s="120">
        <f>IF($A9="","",SUMIFS(Sales_Record!$N$13:$N$52,Sales_Record!$L$13:$L$52,$A9,Sales_Record!$K$13:$K$52,"รายคน")+$C9*SUMIF(Sales_Record!$K$13:$K$52,"ทีม",Sales_Record!$N$13:$N$52))</f>
        <v/>
      </c>
      <c r="G9" s="119">
        <f>IF($A9="","",SUMIFS(Sales_Record!$N$13:$N$52,Sales_Record!$L$13:$L$52,$A9,Sales_Record!$K$13:$K$52,"รายคน",Sales_Record!$O$13:$O$52,"จ่ายแล้ว")+$C9*SUMIFS(Sales_Record!$N$13:$N$52,Sales_Record!$K$13:$K$52,"ทีม",Sales_Record!$O$13:$O$52,"จ่ายแล้ว"))</f>
        <v/>
      </c>
      <c r="H9" s="119">
        <f>IF($A9="","",F9-G9)</f>
        <v/>
      </c>
    </row>
    <row r="10">
      <c r="A10" s="140" t="inlineStr"/>
      <c r="B10" s="141" t="inlineStr"/>
      <c r="C10" s="142" t="n"/>
      <c r="D10" s="118">
        <f>IF($A10="","",COUNTIFS(Sales_Record!$L$13:$L$52,$A10,Sales_Record!$K$13:$K$52,"รายคน"))</f>
        <v/>
      </c>
      <c r="E10" s="119">
        <f>IF($A10="","",SUMIFS(Sales_Record!$J$13:$J$52,Sales_Record!$L$13:$L$52,$A10,Sales_Record!$K$13:$K$52,"รายคน")+$C10*SUMIF(Sales_Record!$K$13:$K$52,"ทีม",Sales_Record!$J$13:$J$52))</f>
        <v/>
      </c>
      <c r="F10" s="120">
        <f>IF($A10="","",SUMIFS(Sales_Record!$N$13:$N$52,Sales_Record!$L$13:$L$52,$A10,Sales_Record!$K$13:$K$52,"รายคน")+$C10*SUMIF(Sales_Record!$K$13:$K$52,"ทีม",Sales_Record!$N$13:$N$52))</f>
        <v/>
      </c>
      <c r="G10" s="119">
        <f>IF($A10="","",SUMIFS(Sales_Record!$N$13:$N$52,Sales_Record!$L$13:$L$52,$A10,Sales_Record!$K$13:$K$52,"รายคน",Sales_Record!$O$13:$O$52,"จ่ายแล้ว")+$C10*SUMIFS(Sales_Record!$N$13:$N$52,Sales_Record!$K$13:$K$52,"ทีม",Sales_Record!$O$13:$O$52,"จ่ายแล้ว"))</f>
        <v/>
      </c>
      <c r="H10" s="119">
        <f>IF($A10="","",F10-G10)</f>
        <v/>
      </c>
    </row>
    <row r="11">
      <c r="A11" s="140" t="inlineStr"/>
      <c r="B11" s="141" t="inlineStr"/>
      <c r="C11" s="142" t="n"/>
      <c r="D11" s="118">
        <f>IF($A11="","",COUNTIFS(Sales_Record!$L$13:$L$52,$A11,Sales_Record!$K$13:$K$52,"รายคน"))</f>
        <v/>
      </c>
      <c r="E11" s="119">
        <f>IF($A11="","",SUMIFS(Sales_Record!$J$13:$J$52,Sales_Record!$L$13:$L$52,$A11,Sales_Record!$K$13:$K$52,"รายคน")+$C11*SUMIF(Sales_Record!$K$13:$K$52,"ทีม",Sales_Record!$J$13:$J$52))</f>
        <v/>
      </c>
      <c r="F11" s="120">
        <f>IF($A11="","",SUMIFS(Sales_Record!$N$13:$N$52,Sales_Record!$L$13:$L$52,$A11,Sales_Record!$K$13:$K$52,"รายคน")+$C11*SUMIF(Sales_Record!$K$13:$K$52,"ทีม",Sales_Record!$N$13:$N$52))</f>
        <v/>
      </c>
      <c r="G11" s="119">
        <f>IF($A11="","",SUMIFS(Sales_Record!$N$13:$N$52,Sales_Record!$L$13:$L$52,$A11,Sales_Record!$K$13:$K$52,"รายคน",Sales_Record!$O$13:$O$52,"จ่ายแล้ว")+$C11*SUMIFS(Sales_Record!$N$13:$N$52,Sales_Record!$K$13:$K$52,"ทีม",Sales_Record!$O$13:$O$52,"จ่ายแล้ว"))</f>
        <v/>
      </c>
      <c r="H11" s="119">
        <f>IF($A11="","",F11-G11)</f>
        <v/>
      </c>
    </row>
    <row r="12">
      <c r="A12" s="140" t="inlineStr"/>
      <c r="B12" s="141" t="inlineStr"/>
      <c r="C12" s="142" t="n"/>
      <c r="D12" s="118">
        <f>IF($A12="","",COUNTIFS(Sales_Record!$L$13:$L$52,$A12,Sales_Record!$K$13:$K$52,"รายคน"))</f>
        <v/>
      </c>
      <c r="E12" s="119">
        <f>IF($A12="","",SUMIFS(Sales_Record!$J$13:$J$52,Sales_Record!$L$13:$L$52,$A12,Sales_Record!$K$13:$K$52,"รายคน")+$C12*SUMIF(Sales_Record!$K$13:$K$52,"ทีม",Sales_Record!$J$13:$J$52))</f>
        <v/>
      </c>
      <c r="F12" s="120">
        <f>IF($A12="","",SUMIFS(Sales_Record!$N$13:$N$52,Sales_Record!$L$13:$L$52,$A12,Sales_Record!$K$13:$K$52,"รายคน")+$C12*SUMIF(Sales_Record!$K$13:$K$52,"ทีม",Sales_Record!$N$13:$N$52))</f>
        <v/>
      </c>
      <c r="G12" s="119">
        <f>IF($A12="","",SUMIFS(Sales_Record!$N$13:$N$52,Sales_Record!$L$13:$L$52,$A12,Sales_Record!$K$13:$K$52,"รายคน",Sales_Record!$O$13:$O$52,"จ่ายแล้ว")+$C12*SUMIFS(Sales_Record!$N$13:$N$52,Sales_Record!$K$13:$K$52,"ทีม",Sales_Record!$O$13:$O$52,"จ่ายแล้ว"))</f>
        <v/>
      </c>
      <c r="H12" s="119">
        <f>IF($A12="","",F12-G12)</f>
        <v/>
      </c>
    </row>
    <row r="13">
      <c r="A13" s="140" t="inlineStr"/>
      <c r="B13" s="141" t="inlineStr"/>
      <c r="C13" s="142" t="n"/>
      <c r="D13" s="118">
        <f>IF($A13="","",COUNTIFS(Sales_Record!$L$13:$L$52,$A13,Sales_Record!$K$13:$K$52,"รายคน"))</f>
        <v/>
      </c>
      <c r="E13" s="119">
        <f>IF($A13="","",SUMIFS(Sales_Record!$J$13:$J$52,Sales_Record!$L$13:$L$52,$A13,Sales_Record!$K$13:$K$52,"รายคน")+$C13*SUMIF(Sales_Record!$K$13:$K$52,"ทีม",Sales_Record!$J$13:$J$52))</f>
        <v/>
      </c>
      <c r="F13" s="120">
        <f>IF($A13="","",SUMIFS(Sales_Record!$N$13:$N$52,Sales_Record!$L$13:$L$52,$A13,Sales_Record!$K$13:$K$52,"รายคน")+$C13*SUMIF(Sales_Record!$K$13:$K$52,"ทีม",Sales_Record!$N$13:$N$52))</f>
        <v/>
      </c>
      <c r="G13" s="119">
        <f>IF($A13="","",SUMIFS(Sales_Record!$N$13:$N$52,Sales_Record!$L$13:$L$52,$A13,Sales_Record!$K$13:$K$52,"รายคน",Sales_Record!$O$13:$O$52,"จ่ายแล้ว")+$C13*SUMIFS(Sales_Record!$N$13:$N$52,Sales_Record!$K$13:$K$52,"ทีม",Sales_Record!$O$13:$O$52,"จ่ายแล้ว"))</f>
        <v/>
      </c>
      <c r="H13" s="119">
        <f>IF($A13="","",F13-G13)</f>
        <v/>
      </c>
    </row>
    <row r="14">
      <c r="A14" s="140" t="inlineStr"/>
      <c r="B14" s="141" t="inlineStr"/>
      <c r="C14" s="142" t="n"/>
      <c r="D14" s="118">
        <f>IF($A14="","",COUNTIFS(Sales_Record!$L$13:$L$52,$A14,Sales_Record!$K$13:$K$52,"รายคน"))</f>
        <v/>
      </c>
      <c r="E14" s="119">
        <f>IF($A14="","",SUMIFS(Sales_Record!$J$13:$J$52,Sales_Record!$L$13:$L$52,$A14,Sales_Record!$K$13:$K$52,"รายคน")+$C14*SUMIF(Sales_Record!$K$13:$K$52,"ทีม",Sales_Record!$J$13:$J$52))</f>
        <v/>
      </c>
      <c r="F14" s="120">
        <f>IF($A14="","",SUMIFS(Sales_Record!$N$13:$N$52,Sales_Record!$L$13:$L$52,$A14,Sales_Record!$K$13:$K$52,"รายคน")+$C14*SUMIF(Sales_Record!$K$13:$K$52,"ทีม",Sales_Record!$N$13:$N$52))</f>
        <v/>
      </c>
      <c r="G14" s="119">
        <f>IF($A14="","",SUMIFS(Sales_Record!$N$13:$N$52,Sales_Record!$L$13:$L$52,$A14,Sales_Record!$K$13:$K$52,"รายคน",Sales_Record!$O$13:$O$52,"จ่ายแล้ว")+$C14*SUMIFS(Sales_Record!$N$13:$N$52,Sales_Record!$K$13:$K$52,"ทีม",Sales_Record!$O$13:$O$52,"จ่ายแล้ว"))</f>
        <v/>
      </c>
      <c r="H14" s="119">
        <f>IF($A14="","",F14-G14)</f>
        <v/>
      </c>
    </row>
    <row r="15">
      <c r="A15" s="140" t="inlineStr"/>
      <c r="B15" s="141" t="inlineStr"/>
      <c r="C15" s="142" t="n"/>
      <c r="D15" s="118">
        <f>IF($A15="","",COUNTIFS(Sales_Record!$L$13:$L$52,$A15,Sales_Record!$K$13:$K$52,"รายคน"))</f>
        <v/>
      </c>
      <c r="E15" s="119">
        <f>IF($A15="","",SUMIFS(Sales_Record!$J$13:$J$52,Sales_Record!$L$13:$L$52,$A15,Sales_Record!$K$13:$K$52,"รายคน")+$C15*SUMIF(Sales_Record!$K$13:$K$52,"ทีม",Sales_Record!$J$13:$J$52))</f>
        <v/>
      </c>
      <c r="F15" s="120">
        <f>IF($A15="","",SUMIFS(Sales_Record!$N$13:$N$52,Sales_Record!$L$13:$L$52,$A15,Sales_Record!$K$13:$K$52,"รายคน")+$C15*SUMIF(Sales_Record!$K$13:$K$52,"ทีม",Sales_Record!$N$13:$N$52))</f>
        <v/>
      </c>
      <c r="G15" s="119">
        <f>IF($A15="","",SUMIFS(Sales_Record!$N$13:$N$52,Sales_Record!$L$13:$L$52,$A15,Sales_Record!$K$13:$K$52,"รายคน",Sales_Record!$O$13:$O$52,"จ่ายแล้ว")+$C15*SUMIFS(Sales_Record!$N$13:$N$52,Sales_Record!$K$13:$K$52,"ทีม",Sales_Record!$O$13:$O$52,"จ่ายแล้ว"))</f>
        <v/>
      </c>
      <c r="H15" s="119">
        <f>IF($A15="","",F15-G15)</f>
        <v/>
      </c>
    </row>
    <row r="16">
      <c r="A16" s="140" t="inlineStr"/>
      <c r="B16" s="141" t="inlineStr"/>
      <c r="C16" s="142" t="n"/>
      <c r="D16" s="118">
        <f>IF($A16="","",COUNTIFS(Sales_Record!$L$13:$L$52,$A16,Sales_Record!$K$13:$K$52,"รายคน"))</f>
        <v/>
      </c>
      <c r="E16" s="119">
        <f>IF($A16="","",SUMIFS(Sales_Record!$J$13:$J$52,Sales_Record!$L$13:$L$52,$A16,Sales_Record!$K$13:$K$52,"รายคน")+$C16*SUMIF(Sales_Record!$K$13:$K$52,"ทีม",Sales_Record!$J$13:$J$52))</f>
        <v/>
      </c>
      <c r="F16" s="120">
        <f>IF($A16="","",SUMIFS(Sales_Record!$N$13:$N$52,Sales_Record!$L$13:$L$52,$A16,Sales_Record!$K$13:$K$52,"รายคน")+$C16*SUMIF(Sales_Record!$K$13:$K$52,"ทีม",Sales_Record!$N$13:$N$52))</f>
        <v/>
      </c>
      <c r="G16" s="119">
        <f>IF($A16="","",SUMIFS(Sales_Record!$N$13:$N$52,Sales_Record!$L$13:$L$52,$A16,Sales_Record!$K$13:$K$52,"รายคน",Sales_Record!$O$13:$O$52,"จ่ายแล้ว")+$C16*SUMIFS(Sales_Record!$N$13:$N$52,Sales_Record!$K$13:$K$52,"ทีม",Sales_Record!$O$13:$O$52,"จ่ายแล้ว"))</f>
        <v/>
      </c>
      <c r="H16" s="119">
        <f>IF($A16="","",F16-G16)</f>
        <v/>
      </c>
    </row>
    <row r="17">
      <c r="A17" s="140" t="inlineStr"/>
      <c r="B17" s="141" t="inlineStr"/>
      <c r="C17" s="142" t="n"/>
      <c r="D17" s="118">
        <f>IF($A17="","",COUNTIFS(Sales_Record!$L$13:$L$52,$A17,Sales_Record!$K$13:$K$52,"รายคน"))</f>
        <v/>
      </c>
      <c r="E17" s="119">
        <f>IF($A17="","",SUMIFS(Sales_Record!$J$13:$J$52,Sales_Record!$L$13:$L$52,$A17,Sales_Record!$K$13:$K$52,"รายคน")+$C17*SUMIF(Sales_Record!$K$13:$K$52,"ทีม",Sales_Record!$J$13:$J$52))</f>
        <v/>
      </c>
      <c r="F17" s="120">
        <f>IF($A17="","",SUMIFS(Sales_Record!$N$13:$N$52,Sales_Record!$L$13:$L$52,$A17,Sales_Record!$K$13:$K$52,"รายคน")+$C17*SUMIF(Sales_Record!$K$13:$K$52,"ทีม",Sales_Record!$N$13:$N$52))</f>
        <v/>
      </c>
      <c r="G17" s="119">
        <f>IF($A17="","",SUMIFS(Sales_Record!$N$13:$N$52,Sales_Record!$L$13:$L$52,$A17,Sales_Record!$K$13:$K$52,"รายคน",Sales_Record!$O$13:$O$52,"จ่ายแล้ว")+$C17*SUMIFS(Sales_Record!$N$13:$N$52,Sales_Record!$K$13:$K$52,"ทีม",Sales_Record!$O$13:$O$52,"จ่ายแล้ว"))</f>
        <v/>
      </c>
      <c r="H17" s="119">
        <f>IF($A17="","",F17-G17)</f>
        <v/>
      </c>
    </row>
    <row r="18">
      <c r="A18" s="140" t="inlineStr"/>
      <c r="B18" s="141" t="inlineStr"/>
      <c r="C18" s="142" t="n"/>
      <c r="D18" s="118">
        <f>IF($A18="","",COUNTIFS(Sales_Record!$L$13:$L$52,$A18,Sales_Record!$K$13:$K$52,"รายคน"))</f>
        <v/>
      </c>
      <c r="E18" s="119">
        <f>IF($A18="","",SUMIFS(Sales_Record!$J$13:$J$52,Sales_Record!$L$13:$L$52,$A18,Sales_Record!$K$13:$K$52,"รายคน")+$C18*SUMIF(Sales_Record!$K$13:$K$52,"ทีม",Sales_Record!$J$13:$J$52))</f>
        <v/>
      </c>
      <c r="F18" s="120">
        <f>IF($A18="","",SUMIFS(Sales_Record!$N$13:$N$52,Sales_Record!$L$13:$L$52,$A18,Sales_Record!$K$13:$K$52,"รายคน")+$C18*SUMIF(Sales_Record!$K$13:$K$52,"ทีม",Sales_Record!$N$13:$N$52))</f>
        <v/>
      </c>
      <c r="G18" s="119">
        <f>IF($A18="","",SUMIFS(Sales_Record!$N$13:$N$52,Sales_Record!$L$13:$L$52,$A18,Sales_Record!$K$13:$K$52,"รายคน",Sales_Record!$O$13:$O$52,"จ่ายแล้ว")+$C18*SUMIFS(Sales_Record!$N$13:$N$52,Sales_Record!$K$13:$K$52,"ทีม",Sales_Record!$O$13:$O$52,"จ่ายแล้ว"))</f>
        <v/>
      </c>
      <c r="H18" s="119">
        <f>IF($A18="","",F18-G18)</f>
        <v/>
      </c>
    </row>
    <row r="19">
      <c r="A19" s="140" t="inlineStr"/>
      <c r="B19" s="141" t="inlineStr"/>
      <c r="C19" s="142" t="n"/>
      <c r="D19" s="118">
        <f>IF($A19="","",COUNTIFS(Sales_Record!$L$13:$L$52,$A19,Sales_Record!$K$13:$K$52,"รายคน"))</f>
        <v/>
      </c>
      <c r="E19" s="119">
        <f>IF($A19="","",SUMIFS(Sales_Record!$J$13:$J$52,Sales_Record!$L$13:$L$52,$A19,Sales_Record!$K$13:$K$52,"รายคน")+$C19*SUMIF(Sales_Record!$K$13:$K$52,"ทีม",Sales_Record!$J$13:$J$52))</f>
        <v/>
      </c>
      <c r="F19" s="120">
        <f>IF($A19="","",SUMIFS(Sales_Record!$N$13:$N$52,Sales_Record!$L$13:$L$52,$A19,Sales_Record!$K$13:$K$52,"รายคน")+$C19*SUMIF(Sales_Record!$K$13:$K$52,"ทีม",Sales_Record!$N$13:$N$52))</f>
        <v/>
      </c>
      <c r="G19" s="119">
        <f>IF($A19="","",SUMIFS(Sales_Record!$N$13:$N$52,Sales_Record!$L$13:$L$52,$A19,Sales_Record!$K$13:$K$52,"รายคน",Sales_Record!$O$13:$O$52,"จ่ายแล้ว")+$C19*SUMIFS(Sales_Record!$N$13:$N$52,Sales_Record!$K$13:$K$52,"ทีม",Sales_Record!$O$13:$O$52,"จ่ายแล้ว"))</f>
        <v/>
      </c>
      <c r="H19" s="119">
        <f>IF($A19="","",F19-G19)</f>
        <v/>
      </c>
    </row>
    <row r="20">
      <c r="A20" s="140" t="inlineStr"/>
      <c r="B20" s="141" t="inlineStr"/>
      <c r="C20" s="142" t="n"/>
      <c r="D20" s="118">
        <f>IF($A20="","",COUNTIFS(Sales_Record!$L$13:$L$52,$A20,Sales_Record!$K$13:$K$52,"รายคน"))</f>
        <v/>
      </c>
      <c r="E20" s="119">
        <f>IF($A20="","",SUMIFS(Sales_Record!$J$13:$J$52,Sales_Record!$L$13:$L$52,$A20,Sales_Record!$K$13:$K$52,"รายคน")+$C20*SUMIF(Sales_Record!$K$13:$K$52,"ทีม",Sales_Record!$J$13:$J$52))</f>
        <v/>
      </c>
      <c r="F20" s="120">
        <f>IF($A20="","",SUMIFS(Sales_Record!$N$13:$N$52,Sales_Record!$L$13:$L$52,$A20,Sales_Record!$K$13:$K$52,"รายคน")+$C20*SUMIF(Sales_Record!$K$13:$K$52,"ทีม",Sales_Record!$N$13:$N$52))</f>
        <v/>
      </c>
      <c r="G20" s="119">
        <f>IF($A20="","",SUMIFS(Sales_Record!$N$13:$N$52,Sales_Record!$L$13:$L$52,$A20,Sales_Record!$K$13:$K$52,"รายคน",Sales_Record!$O$13:$O$52,"จ่ายแล้ว")+$C20*SUMIFS(Sales_Record!$N$13:$N$52,Sales_Record!$K$13:$K$52,"ทีม",Sales_Record!$O$13:$O$52,"จ่ายแล้ว"))</f>
        <v/>
      </c>
      <c r="H20" s="119">
        <f>IF($A20="","",F20-G20)</f>
        <v/>
      </c>
    </row>
    <row r="21">
      <c r="A21" s="121" t="inlineStr">
        <is>
          <t>รวมทั้งทีม</t>
        </is>
      </c>
      <c r="B21" s="85" t="n"/>
      <c r="C21" s="122">
        <f>SUM(C6:C20)</f>
        <v/>
      </c>
      <c r="D21" s="123">
        <f>SUM(D6:D20)</f>
        <v/>
      </c>
      <c r="E21" s="124">
        <f>SUM(E6:E20)</f>
        <v/>
      </c>
      <c r="F21" s="124">
        <f>SUM(F6:F20)</f>
        <v/>
      </c>
      <c r="G21" s="124">
        <f>SUM(G6:G20)</f>
        <v/>
      </c>
      <c r="H21" s="124">
        <f>SUM(H6:H20)</f>
        <v/>
      </c>
    </row>
    <row r="24" ht="18" customHeight="1">
      <c r="A24" s="128" t="inlineStr">
        <is>
          <t>หมายเหตุ / วิธีใช้</t>
        </is>
      </c>
      <c r="B24" s="126" t="n"/>
      <c r="C24" s="126" t="n"/>
      <c r="D24" s="126" t="n"/>
      <c r="E24" s="126" t="n"/>
      <c r="F24" s="126" t="n"/>
    </row>
    <row r="25" ht="15" customHeight="1">
      <c r="A25" s="127" t="inlineStr">
        <is>
          <t>• กรอก 3 ช่อง: ชื่อ Sales · ตำแหน่ง · %แบ่งทีม (รวมทั้งหมด = 100%)</t>
        </is>
      </c>
    </row>
    <row r="26" ht="15" customHeight="1">
      <c r="A26" s="127" t="inlineStr">
        <is>
          <t>• ดีลที่ปิดเอง · รายได้ · ค่าคอมรวม · จ่ายแล้ว · ค้างจ่าย → คำนวณจากแท็บ Sales_Record</t>
        </is>
      </c>
    </row>
    <row r="27" ht="15" customHeight="1">
      <c r="A27" s="127" t="inlineStr">
        <is>
          <t>• %แบ่งทีม ใช้เฉพาะดีลที่เลือกจ่าย 'ทีม' · ไม่ใช้กับดีลรายคน</t>
        </is>
      </c>
    </row>
    <row r="28" ht="15" customHeight="1">
      <c r="A28" s="127" t="inlineStr">
        <is>
          <t>• ชื่อในนี้คือตัวเลือกดรอปดาวน์ Sales ในแท็บ Sales_Record</t>
        </is>
      </c>
    </row>
    <row r="29" ht="15" customHeight="1">
      <c r="A29" s="139" t="inlineStr">
        <is>
          <t>• ช่องที่คำนวณถูกล็อก · กรอกได้เฉพาะ ชื่อ/ตำแหน่ง/%แบ่งทีม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A24:F24"/>
    <mergeCell ref="A21:B21"/>
    <mergeCell ref="A3:H3"/>
    <mergeCell ref="C2:H2"/>
    <mergeCell ref="A28:F28"/>
    <mergeCell ref="A27:F27"/>
    <mergeCell ref="A26:F26"/>
    <mergeCell ref="A1:B2"/>
    <mergeCell ref="A29:F29"/>
    <mergeCell ref="A25:F25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46" t="inlineStr">
        <is>
          <t>EASYCRM — อัตราค่าคอมมิชชั่นตามแพ็กเกจ</t>
        </is>
      </c>
    </row>
    <row r="2">
      <c r="A2" s="47" t="inlineStr">
        <is>
          <t>ราคาก่อน VAT 7% · ต่ออายุ = ครึ่งของอัตราใหม่ · แก้ตัวเลขที่นี่ที่เดียว ตาราง Sales_Record จะดึงไปคำนวณอัตโนมัติ</t>
        </is>
      </c>
    </row>
    <row r="3" ht="30" customHeight="1">
      <c r="A3" s="48" t="inlineStr">
        <is>
          <t>แพ็กเกจ</t>
        </is>
      </c>
      <c r="B3" s="48" t="inlineStr">
        <is>
          <t>ราคาต่อปี (บาท)</t>
        </is>
      </c>
      <c r="C3" s="48" t="inlineStr">
        <is>
          <t>% ค่าคอม (ใหม่)</t>
        </is>
      </c>
      <c r="D3" s="48" t="inlineStr">
        <is>
          <t>ค่าคอม/ดีล ใหม่</t>
        </is>
      </c>
      <c r="E3" s="48" t="inlineStr">
        <is>
          <t>% ต่ออายุ</t>
        </is>
      </c>
      <c r="F3" s="48" t="inlineStr">
        <is>
          <t>ค่าคอม/ดีล ต่ออายุ</t>
        </is>
      </c>
    </row>
    <row r="4">
      <c r="A4" s="115" t="inlineStr">
        <is>
          <t>Starter</t>
        </is>
      </c>
      <c r="B4" s="143" t="n">
        <v>15588</v>
      </c>
      <c r="C4" s="144" t="n">
        <v>0.1</v>
      </c>
      <c r="D4" s="50">
        <f>B4*C4</f>
        <v/>
      </c>
      <c r="E4" s="144" t="n">
        <v>0.05</v>
      </c>
      <c r="F4" s="50">
        <f>B4*E4</f>
        <v/>
      </c>
    </row>
    <row r="5">
      <c r="A5" s="52" t="inlineStr">
        <is>
          <t>Plus</t>
        </is>
      </c>
      <c r="B5" s="145" t="n">
        <v>23988</v>
      </c>
      <c r="C5" s="146" t="n">
        <v>0.12</v>
      </c>
      <c r="D5" s="53">
        <f>B5*C5</f>
        <v/>
      </c>
      <c r="E5" s="146" t="n">
        <v>0.06</v>
      </c>
      <c r="F5" s="53">
        <f>B5*E5</f>
        <v/>
      </c>
    </row>
    <row r="6">
      <c r="A6" s="115" t="inlineStr">
        <is>
          <t>Premium</t>
        </is>
      </c>
      <c r="B6" s="143" t="n">
        <v>35988</v>
      </c>
      <c r="C6" s="144" t="n">
        <v>0.15</v>
      </c>
      <c r="D6" s="50">
        <f>B6*C6</f>
        <v/>
      </c>
      <c r="E6" s="144" t="n">
        <v>0.075</v>
      </c>
      <c r="F6" s="50">
        <f>B6*E6</f>
        <v/>
      </c>
    </row>
    <row r="7">
      <c r="A7" s="52" t="inlineStr">
        <is>
          <t>Enterprise</t>
        </is>
      </c>
      <c r="B7" s="147" t="inlineStr">
        <is>
          <t>ตามดีลจริง</t>
        </is>
      </c>
      <c r="C7" s="146" t="n">
        <v>0.1</v>
      </c>
      <c r="D7" s="53">
        <f>B7*C7</f>
        <v/>
      </c>
      <c r="E7" s="146" t="n">
        <v>0.05</v>
      </c>
      <c r="F7" s="53">
        <f>B7*E7</f>
        <v/>
      </c>
    </row>
    <row r="9">
      <c r="A9" s="56" t="inlineStr">
        <is>
          <t>หมายเหตุ</t>
        </is>
      </c>
    </row>
    <row r="10">
      <c r="A10" s="57" t="inlineStr">
        <is>
          <t>• Enterprise: ราคาตามสัญญา → กรอกราคาในคอลัมน์ 'ราคาเต็ม' ของแท็บ Sales_Record โดยตรง</t>
        </is>
      </c>
    </row>
    <row r="11">
      <c r="A11" s="57" t="inlineStr">
        <is>
          <t>• ค่าคอมจ่ายเมื่อลูกค้าชำระครบ + ส่งมอบระบบ (Phase 5)</t>
        </is>
      </c>
    </row>
    <row r="12">
      <c r="A12" s="57" t="inlineStr">
        <is>
          <t>• ลูกค้ายกเลิก/refund ภายใน 30 วัน → หักค่าคอมคืน</t>
        </is>
      </c>
    </row>
    <row r="14" ht="18" customHeight="1">
      <c r="A14" s="128" t="inlineStr">
        <is>
          <t>วิธีใช้</t>
        </is>
      </c>
      <c r="B14" s="126" t="n"/>
      <c r="C14" s="126" t="n"/>
      <c r="D14" s="126" t="n"/>
      <c r="E14" s="126" t="n"/>
      <c r="F14" s="126" t="n"/>
    </row>
    <row r="15" ht="15" customHeight="1">
      <c r="A15" s="127" t="inlineStr">
        <is>
          <t>• แก้ % ค่าคอมที่นี่ที่เดียว · แท็บ Sales_Record จะดึงไปคำนวณอัตโนมัติ</t>
        </is>
      </c>
    </row>
    <row r="16" ht="15" customHeight="1">
      <c r="A16" s="127" t="inlineStr">
        <is>
          <t>• ดีลใหม่ใช้ '% ค่าคอม (ใหม่)' · ต่ออายุใช้ '% ต่ออายุ'</t>
        </is>
      </c>
    </row>
    <row r="17" ht="15" customHeight="1">
      <c r="A17" s="139" t="inlineStr">
        <is>
          <t>• ช่องที่คำนวณ (ค่าคอม/ดีล) ถูกล็อก · แก้ได้เฉพาะราคา/%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6:F16"/>
    <mergeCell ref="A11:F11"/>
    <mergeCell ref="A2:F2"/>
    <mergeCell ref="A10:F10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4" customWidth="1" min="4" max="4"/>
    <col width="12" customWidth="1" min="5" max="5"/>
    <col width="11" customWidth="1" min="6" max="6"/>
    <col width="14" customWidth="1" min="7" max="7"/>
    <col width="10" customWidth="1" min="8" max="8"/>
    <col width="16" customWidth="1" min="9" max="9"/>
    <col width="13" customWidth="1" min="10" max="10"/>
  </cols>
  <sheetData>
    <row r="1" ht="26" customHeight="1">
      <c r="A1" s="1" t="inlineStr">
        <is>
          <t>EASY
CRM</t>
        </is>
      </c>
      <c r="C1" s="2" t="inlineStr">
        <is>
          <t>REVENUE LEDGER 2026</t>
        </is>
      </c>
    </row>
    <row r="2" ht="18" customHeight="1">
      <c r="C2" s="4" t="inlineStr">
        <is>
          <t>สรุปรายได้รายรายการ · EasyCRM (บริษัท อีซี่สลิป จำกัด)</t>
        </is>
      </c>
    </row>
    <row r="3" ht="16" customHeight="1">
      <c r="A3" s="114" t="inlineStr">
        <is>
          <t>ดึงข้อมูลอัตโนมัติจากแท็บ Sales_Record · กรอกดีลในแท็บนั้น รายการตรงนี้จะขึ้นเอง และรวมยอดท้ายตาราง</t>
        </is>
      </c>
    </row>
    <row r="5" ht="30" customHeight="1">
      <c r="A5" s="91" t="inlineStr">
        <is>
          <t>No</t>
        </is>
      </c>
      <c r="B5" s="91" t="inlineStr">
        <is>
          <t>วันที่</t>
        </is>
      </c>
      <c r="C5" s="91" t="inlineStr">
        <is>
          <t>ไตรมาส</t>
        </is>
      </c>
      <c r="D5" s="91" t="inlineStr">
        <is>
          <t>ชื่อลูกค้า</t>
        </is>
      </c>
      <c r="E5" s="91" t="inlineStr">
        <is>
          <t>แพ็กเกจ</t>
        </is>
      </c>
      <c r="F5" s="91" t="inlineStr">
        <is>
          <t>ประเภท</t>
        </is>
      </c>
      <c r="G5" s="91" t="inlineStr">
        <is>
          <t>ราคาเต็ม (THB)</t>
        </is>
      </c>
      <c r="H5" s="91" t="inlineStr">
        <is>
          <t>ส่วนลด %</t>
        </is>
      </c>
      <c r="I5" s="91" t="inlineStr">
        <is>
          <t>รายได้สุทธิ (THB)</t>
        </is>
      </c>
      <c r="J5" s="91" t="inlineStr">
        <is>
          <t>การชำระเงิน</t>
        </is>
      </c>
    </row>
    <row r="6">
      <c r="A6" s="104">
        <f>IF($B6="","",ROW()-5)</f>
        <v/>
      </c>
      <c r="B6" s="105">
        <f>IF(Sales_Record!B13="","",Sales_Record!B13)</f>
        <v/>
      </c>
      <c r="C6" s="106">
        <f>IF($B6="","",Sales_Record!C13)</f>
        <v/>
      </c>
      <c r="D6" s="107">
        <f>IF($B6="","",Sales_Record!D13)</f>
        <v/>
      </c>
      <c r="E6" s="106">
        <f>IF($B6="","",Sales_Record!G13)</f>
        <v/>
      </c>
      <c r="F6" s="106">
        <f>IF($B6="","",Sales_Record!E13)</f>
        <v/>
      </c>
      <c r="G6" s="108">
        <f>IF($B6="","",Sales_Record!H13)</f>
        <v/>
      </c>
      <c r="H6" s="109">
        <f>IF($B6="","",Sales_Record!I13)</f>
        <v/>
      </c>
      <c r="I6" s="110">
        <f>IF($B6="","",Sales_Record!J13)</f>
        <v/>
      </c>
      <c r="J6" s="106">
        <f>IF($B6="","",Sales_Record!F13)</f>
        <v/>
      </c>
    </row>
    <row r="7">
      <c r="A7" s="104">
        <f>IF($B7="","",ROW()-5)</f>
        <v/>
      </c>
      <c r="B7" s="105">
        <f>IF(Sales_Record!B14="","",Sales_Record!B14)</f>
        <v/>
      </c>
      <c r="C7" s="106">
        <f>IF($B7="","",Sales_Record!C14)</f>
        <v/>
      </c>
      <c r="D7" s="107">
        <f>IF($B7="","",Sales_Record!D14)</f>
        <v/>
      </c>
      <c r="E7" s="106">
        <f>IF($B7="","",Sales_Record!G14)</f>
        <v/>
      </c>
      <c r="F7" s="106">
        <f>IF($B7="","",Sales_Record!E14)</f>
        <v/>
      </c>
      <c r="G7" s="108">
        <f>IF($B7="","",Sales_Record!H14)</f>
        <v/>
      </c>
      <c r="H7" s="109">
        <f>IF($B7="","",Sales_Record!I14)</f>
        <v/>
      </c>
      <c r="I7" s="110">
        <f>IF($B7="","",Sales_Record!J14)</f>
        <v/>
      </c>
      <c r="J7" s="106">
        <f>IF($B7="","",Sales_Record!F14)</f>
        <v/>
      </c>
    </row>
    <row r="8">
      <c r="A8" s="104">
        <f>IF($B8="","",ROW()-5)</f>
        <v/>
      </c>
      <c r="B8" s="105">
        <f>IF(Sales_Record!B15="","",Sales_Record!B15)</f>
        <v/>
      </c>
      <c r="C8" s="106">
        <f>IF($B8="","",Sales_Record!C15)</f>
        <v/>
      </c>
      <c r="D8" s="107">
        <f>IF($B8="","",Sales_Record!D15)</f>
        <v/>
      </c>
      <c r="E8" s="106">
        <f>IF($B8="","",Sales_Record!G15)</f>
        <v/>
      </c>
      <c r="F8" s="106">
        <f>IF($B8="","",Sales_Record!E15)</f>
        <v/>
      </c>
      <c r="G8" s="108">
        <f>IF($B8="","",Sales_Record!H15)</f>
        <v/>
      </c>
      <c r="H8" s="109">
        <f>IF($B8="","",Sales_Record!I15)</f>
        <v/>
      </c>
      <c r="I8" s="110">
        <f>IF($B8="","",Sales_Record!J15)</f>
        <v/>
      </c>
      <c r="J8" s="106">
        <f>IF($B8="","",Sales_Record!F15)</f>
        <v/>
      </c>
    </row>
    <row r="9">
      <c r="A9" s="104">
        <f>IF($B9="","",ROW()-5)</f>
        <v/>
      </c>
      <c r="B9" s="105">
        <f>IF(Sales_Record!B16="","",Sales_Record!B16)</f>
        <v/>
      </c>
      <c r="C9" s="106">
        <f>IF($B9="","",Sales_Record!C16)</f>
        <v/>
      </c>
      <c r="D9" s="107">
        <f>IF($B9="","",Sales_Record!D16)</f>
        <v/>
      </c>
      <c r="E9" s="106">
        <f>IF($B9="","",Sales_Record!G16)</f>
        <v/>
      </c>
      <c r="F9" s="106">
        <f>IF($B9="","",Sales_Record!E16)</f>
        <v/>
      </c>
      <c r="G9" s="108">
        <f>IF($B9="","",Sales_Record!H16)</f>
        <v/>
      </c>
      <c r="H9" s="109">
        <f>IF($B9="","",Sales_Record!I16)</f>
        <v/>
      </c>
      <c r="I9" s="110">
        <f>IF($B9="","",Sales_Record!J16)</f>
        <v/>
      </c>
      <c r="J9" s="106">
        <f>IF($B9="","",Sales_Record!F16)</f>
        <v/>
      </c>
    </row>
    <row r="10">
      <c r="A10" s="104">
        <f>IF($B10="","",ROW()-5)</f>
        <v/>
      </c>
      <c r="B10" s="105">
        <f>IF(Sales_Record!B17="","",Sales_Record!B17)</f>
        <v/>
      </c>
      <c r="C10" s="106">
        <f>IF($B10="","",Sales_Record!C17)</f>
        <v/>
      </c>
      <c r="D10" s="107">
        <f>IF($B10="","",Sales_Record!D17)</f>
        <v/>
      </c>
      <c r="E10" s="106">
        <f>IF($B10="","",Sales_Record!G17)</f>
        <v/>
      </c>
      <c r="F10" s="106">
        <f>IF($B10="","",Sales_Record!E17)</f>
        <v/>
      </c>
      <c r="G10" s="108">
        <f>IF($B10="","",Sales_Record!H17)</f>
        <v/>
      </c>
      <c r="H10" s="109">
        <f>IF($B10="","",Sales_Record!I17)</f>
        <v/>
      </c>
      <c r="I10" s="110">
        <f>IF($B10="","",Sales_Record!J17)</f>
        <v/>
      </c>
      <c r="J10" s="106">
        <f>IF($B10="","",Sales_Record!F17)</f>
        <v/>
      </c>
    </row>
    <row r="11">
      <c r="A11" s="104">
        <f>IF($B11="","",ROW()-5)</f>
        <v/>
      </c>
      <c r="B11" s="105">
        <f>IF(Sales_Record!B18="","",Sales_Record!B18)</f>
        <v/>
      </c>
      <c r="C11" s="106">
        <f>IF($B11="","",Sales_Record!C18)</f>
        <v/>
      </c>
      <c r="D11" s="107">
        <f>IF($B11="","",Sales_Record!D18)</f>
        <v/>
      </c>
      <c r="E11" s="106">
        <f>IF($B11="","",Sales_Record!G18)</f>
        <v/>
      </c>
      <c r="F11" s="106">
        <f>IF($B11="","",Sales_Record!E18)</f>
        <v/>
      </c>
      <c r="G11" s="108">
        <f>IF($B11="","",Sales_Record!H18)</f>
        <v/>
      </c>
      <c r="H11" s="109">
        <f>IF($B11="","",Sales_Record!I18)</f>
        <v/>
      </c>
      <c r="I11" s="110">
        <f>IF($B11="","",Sales_Record!J18)</f>
        <v/>
      </c>
      <c r="J11" s="106">
        <f>IF($B11="","",Sales_Record!F18)</f>
        <v/>
      </c>
    </row>
    <row r="12">
      <c r="A12" s="104">
        <f>IF($B12="","",ROW()-5)</f>
        <v/>
      </c>
      <c r="B12" s="105">
        <f>IF(Sales_Record!B19="","",Sales_Record!B19)</f>
        <v/>
      </c>
      <c r="C12" s="106">
        <f>IF($B12="","",Sales_Record!C19)</f>
        <v/>
      </c>
      <c r="D12" s="107">
        <f>IF($B12="","",Sales_Record!D19)</f>
        <v/>
      </c>
      <c r="E12" s="106">
        <f>IF($B12="","",Sales_Record!G19)</f>
        <v/>
      </c>
      <c r="F12" s="106">
        <f>IF($B12="","",Sales_Record!E19)</f>
        <v/>
      </c>
      <c r="G12" s="108">
        <f>IF($B12="","",Sales_Record!H19)</f>
        <v/>
      </c>
      <c r="H12" s="109">
        <f>IF($B12="","",Sales_Record!I19)</f>
        <v/>
      </c>
      <c r="I12" s="110">
        <f>IF($B12="","",Sales_Record!J19)</f>
        <v/>
      </c>
      <c r="J12" s="106">
        <f>IF($B12="","",Sales_Record!F19)</f>
        <v/>
      </c>
    </row>
    <row r="13">
      <c r="A13" s="104">
        <f>IF($B13="","",ROW()-5)</f>
        <v/>
      </c>
      <c r="B13" s="105">
        <f>IF(Sales_Record!B20="","",Sales_Record!B20)</f>
        <v/>
      </c>
      <c r="C13" s="106">
        <f>IF($B13="","",Sales_Record!C20)</f>
        <v/>
      </c>
      <c r="D13" s="107">
        <f>IF($B13="","",Sales_Record!D20)</f>
        <v/>
      </c>
      <c r="E13" s="106">
        <f>IF($B13="","",Sales_Record!G20)</f>
        <v/>
      </c>
      <c r="F13" s="106">
        <f>IF($B13="","",Sales_Record!E20)</f>
        <v/>
      </c>
      <c r="G13" s="108">
        <f>IF($B13="","",Sales_Record!H20)</f>
        <v/>
      </c>
      <c r="H13" s="109">
        <f>IF($B13="","",Sales_Record!I20)</f>
        <v/>
      </c>
      <c r="I13" s="110">
        <f>IF($B13="","",Sales_Record!J20)</f>
        <v/>
      </c>
      <c r="J13" s="106">
        <f>IF($B13="","",Sales_Record!F20)</f>
        <v/>
      </c>
    </row>
    <row r="14">
      <c r="A14" s="104">
        <f>IF($B14="","",ROW()-5)</f>
        <v/>
      </c>
      <c r="B14" s="105">
        <f>IF(Sales_Record!B21="","",Sales_Record!B21)</f>
        <v/>
      </c>
      <c r="C14" s="106">
        <f>IF($B14="","",Sales_Record!C21)</f>
        <v/>
      </c>
      <c r="D14" s="107">
        <f>IF($B14="","",Sales_Record!D21)</f>
        <v/>
      </c>
      <c r="E14" s="106">
        <f>IF($B14="","",Sales_Record!G21)</f>
        <v/>
      </c>
      <c r="F14" s="106">
        <f>IF($B14="","",Sales_Record!E21)</f>
        <v/>
      </c>
      <c r="G14" s="108">
        <f>IF($B14="","",Sales_Record!H21)</f>
        <v/>
      </c>
      <c r="H14" s="109">
        <f>IF($B14="","",Sales_Record!I21)</f>
        <v/>
      </c>
      <c r="I14" s="110">
        <f>IF($B14="","",Sales_Record!J21)</f>
        <v/>
      </c>
      <c r="J14" s="106">
        <f>IF($B14="","",Sales_Record!F21)</f>
        <v/>
      </c>
    </row>
    <row r="15">
      <c r="A15" s="104">
        <f>IF($B15="","",ROW()-5)</f>
        <v/>
      </c>
      <c r="B15" s="105">
        <f>IF(Sales_Record!B22="","",Sales_Record!B22)</f>
        <v/>
      </c>
      <c r="C15" s="106">
        <f>IF($B15="","",Sales_Record!C22)</f>
        <v/>
      </c>
      <c r="D15" s="107">
        <f>IF($B15="","",Sales_Record!D22)</f>
        <v/>
      </c>
      <c r="E15" s="106">
        <f>IF($B15="","",Sales_Record!G22)</f>
        <v/>
      </c>
      <c r="F15" s="106">
        <f>IF($B15="","",Sales_Record!E22)</f>
        <v/>
      </c>
      <c r="G15" s="108">
        <f>IF($B15="","",Sales_Record!H22)</f>
        <v/>
      </c>
      <c r="H15" s="109">
        <f>IF($B15="","",Sales_Record!I22)</f>
        <v/>
      </c>
      <c r="I15" s="110">
        <f>IF($B15="","",Sales_Record!J22)</f>
        <v/>
      </c>
      <c r="J15" s="106">
        <f>IF($B15="","",Sales_Record!F22)</f>
        <v/>
      </c>
    </row>
    <row r="16">
      <c r="A16" s="104">
        <f>IF($B16="","",ROW()-5)</f>
        <v/>
      </c>
      <c r="B16" s="105">
        <f>IF(Sales_Record!B23="","",Sales_Record!B23)</f>
        <v/>
      </c>
      <c r="C16" s="106">
        <f>IF($B16="","",Sales_Record!C23)</f>
        <v/>
      </c>
      <c r="D16" s="107">
        <f>IF($B16="","",Sales_Record!D23)</f>
        <v/>
      </c>
      <c r="E16" s="106">
        <f>IF($B16="","",Sales_Record!G23)</f>
        <v/>
      </c>
      <c r="F16" s="106">
        <f>IF($B16="","",Sales_Record!E23)</f>
        <v/>
      </c>
      <c r="G16" s="108">
        <f>IF($B16="","",Sales_Record!H23)</f>
        <v/>
      </c>
      <c r="H16" s="109">
        <f>IF($B16="","",Sales_Record!I23)</f>
        <v/>
      </c>
      <c r="I16" s="110">
        <f>IF($B16="","",Sales_Record!J23)</f>
        <v/>
      </c>
      <c r="J16" s="106">
        <f>IF($B16="","",Sales_Record!F23)</f>
        <v/>
      </c>
    </row>
    <row r="17">
      <c r="A17" s="104">
        <f>IF($B17="","",ROW()-5)</f>
        <v/>
      </c>
      <c r="B17" s="105">
        <f>IF(Sales_Record!B24="","",Sales_Record!B24)</f>
        <v/>
      </c>
      <c r="C17" s="106">
        <f>IF($B17="","",Sales_Record!C24)</f>
        <v/>
      </c>
      <c r="D17" s="107">
        <f>IF($B17="","",Sales_Record!D24)</f>
        <v/>
      </c>
      <c r="E17" s="106">
        <f>IF($B17="","",Sales_Record!G24)</f>
        <v/>
      </c>
      <c r="F17" s="106">
        <f>IF($B17="","",Sales_Record!E24)</f>
        <v/>
      </c>
      <c r="G17" s="108">
        <f>IF($B17="","",Sales_Record!H24)</f>
        <v/>
      </c>
      <c r="H17" s="109">
        <f>IF($B17="","",Sales_Record!I24)</f>
        <v/>
      </c>
      <c r="I17" s="110">
        <f>IF($B17="","",Sales_Record!J24)</f>
        <v/>
      </c>
      <c r="J17" s="106">
        <f>IF($B17="","",Sales_Record!F24)</f>
        <v/>
      </c>
    </row>
    <row r="18">
      <c r="A18" s="104">
        <f>IF($B18="","",ROW()-5)</f>
        <v/>
      </c>
      <c r="B18" s="105">
        <f>IF(Sales_Record!B25="","",Sales_Record!B25)</f>
        <v/>
      </c>
      <c r="C18" s="106">
        <f>IF($B18="","",Sales_Record!C25)</f>
        <v/>
      </c>
      <c r="D18" s="107">
        <f>IF($B18="","",Sales_Record!D25)</f>
        <v/>
      </c>
      <c r="E18" s="106">
        <f>IF($B18="","",Sales_Record!G25)</f>
        <v/>
      </c>
      <c r="F18" s="106">
        <f>IF($B18="","",Sales_Record!E25)</f>
        <v/>
      </c>
      <c r="G18" s="108">
        <f>IF($B18="","",Sales_Record!H25)</f>
        <v/>
      </c>
      <c r="H18" s="109">
        <f>IF($B18="","",Sales_Record!I25)</f>
        <v/>
      </c>
      <c r="I18" s="110">
        <f>IF($B18="","",Sales_Record!J25)</f>
        <v/>
      </c>
      <c r="J18" s="106">
        <f>IF($B18="","",Sales_Record!F25)</f>
        <v/>
      </c>
    </row>
    <row r="19">
      <c r="A19" s="104">
        <f>IF($B19="","",ROW()-5)</f>
        <v/>
      </c>
      <c r="B19" s="105">
        <f>IF(Sales_Record!B26="","",Sales_Record!B26)</f>
        <v/>
      </c>
      <c r="C19" s="106">
        <f>IF($B19="","",Sales_Record!C26)</f>
        <v/>
      </c>
      <c r="D19" s="107">
        <f>IF($B19="","",Sales_Record!D26)</f>
        <v/>
      </c>
      <c r="E19" s="106">
        <f>IF($B19="","",Sales_Record!G26)</f>
        <v/>
      </c>
      <c r="F19" s="106">
        <f>IF($B19="","",Sales_Record!E26)</f>
        <v/>
      </c>
      <c r="G19" s="108">
        <f>IF($B19="","",Sales_Record!H26)</f>
        <v/>
      </c>
      <c r="H19" s="109">
        <f>IF($B19="","",Sales_Record!I26)</f>
        <v/>
      </c>
      <c r="I19" s="110">
        <f>IF($B19="","",Sales_Record!J26)</f>
        <v/>
      </c>
      <c r="J19" s="106">
        <f>IF($B19="","",Sales_Record!F26)</f>
        <v/>
      </c>
    </row>
    <row r="20">
      <c r="A20" s="104">
        <f>IF($B20="","",ROW()-5)</f>
        <v/>
      </c>
      <c r="B20" s="105">
        <f>IF(Sales_Record!B27="","",Sales_Record!B27)</f>
        <v/>
      </c>
      <c r="C20" s="106">
        <f>IF($B20="","",Sales_Record!C27)</f>
        <v/>
      </c>
      <c r="D20" s="107">
        <f>IF($B20="","",Sales_Record!D27)</f>
        <v/>
      </c>
      <c r="E20" s="106">
        <f>IF($B20="","",Sales_Record!G27)</f>
        <v/>
      </c>
      <c r="F20" s="106">
        <f>IF($B20="","",Sales_Record!E27)</f>
        <v/>
      </c>
      <c r="G20" s="108">
        <f>IF($B20="","",Sales_Record!H27)</f>
        <v/>
      </c>
      <c r="H20" s="109">
        <f>IF($B20="","",Sales_Record!I27)</f>
        <v/>
      </c>
      <c r="I20" s="110">
        <f>IF($B20="","",Sales_Record!J27)</f>
        <v/>
      </c>
      <c r="J20" s="106">
        <f>IF($B20="","",Sales_Record!F27)</f>
        <v/>
      </c>
    </row>
    <row r="21">
      <c r="A21" s="104">
        <f>IF($B21="","",ROW()-5)</f>
        <v/>
      </c>
      <c r="B21" s="105">
        <f>IF(Sales_Record!B28="","",Sales_Record!B28)</f>
        <v/>
      </c>
      <c r="C21" s="106">
        <f>IF($B21="","",Sales_Record!C28)</f>
        <v/>
      </c>
      <c r="D21" s="107">
        <f>IF($B21="","",Sales_Record!D28)</f>
        <v/>
      </c>
      <c r="E21" s="106">
        <f>IF($B21="","",Sales_Record!G28)</f>
        <v/>
      </c>
      <c r="F21" s="106">
        <f>IF($B21="","",Sales_Record!E28)</f>
        <v/>
      </c>
      <c r="G21" s="108">
        <f>IF($B21="","",Sales_Record!H28)</f>
        <v/>
      </c>
      <c r="H21" s="109">
        <f>IF($B21="","",Sales_Record!I28)</f>
        <v/>
      </c>
      <c r="I21" s="110">
        <f>IF($B21="","",Sales_Record!J28)</f>
        <v/>
      </c>
      <c r="J21" s="106">
        <f>IF($B21="","",Sales_Record!F28)</f>
        <v/>
      </c>
    </row>
    <row r="22">
      <c r="A22" s="104">
        <f>IF($B22="","",ROW()-5)</f>
        <v/>
      </c>
      <c r="B22" s="105">
        <f>IF(Sales_Record!B29="","",Sales_Record!B29)</f>
        <v/>
      </c>
      <c r="C22" s="106">
        <f>IF($B22="","",Sales_Record!C29)</f>
        <v/>
      </c>
      <c r="D22" s="107">
        <f>IF($B22="","",Sales_Record!D29)</f>
        <v/>
      </c>
      <c r="E22" s="106">
        <f>IF($B22="","",Sales_Record!G29)</f>
        <v/>
      </c>
      <c r="F22" s="106">
        <f>IF($B22="","",Sales_Record!E29)</f>
        <v/>
      </c>
      <c r="G22" s="108">
        <f>IF($B22="","",Sales_Record!H29)</f>
        <v/>
      </c>
      <c r="H22" s="109">
        <f>IF($B22="","",Sales_Record!I29)</f>
        <v/>
      </c>
      <c r="I22" s="110">
        <f>IF($B22="","",Sales_Record!J29)</f>
        <v/>
      </c>
      <c r="J22" s="106">
        <f>IF($B22="","",Sales_Record!F29)</f>
        <v/>
      </c>
    </row>
    <row r="23">
      <c r="A23" s="104">
        <f>IF($B23="","",ROW()-5)</f>
        <v/>
      </c>
      <c r="B23" s="105">
        <f>IF(Sales_Record!B30="","",Sales_Record!B30)</f>
        <v/>
      </c>
      <c r="C23" s="106">
        <f>IF($B23="","",Sales_Record!C30)</f>
        <v/>
      </c>
      <c r="D23" s="107">
        <f>IF($B23="","",Sales_Record!D30)</f>
        <v/>
      </c>
      <c r="E23" s="106">
        <f>IF($B23="","",Sales_Record!G30)</f>
        <v/>
      </c>
      <c r="F23" s="106">
        <f>IF($B23="","",Sales_Record!E30)</f>
        <v/>
      </c>
      <c r="G23" s="108">
        <f>IF($B23="","",Sales_Record!H30)</f>
        <v/>
      </c>
      <c r="H23" s="109">
        <f>IF($B23="","",Sales_Record!I30)</f>
        <v/>
      </c>
      <c r="I23" s="110">
        <f>IF($B23="","",Sales_Record!J30)</f>
        <v/>
      </c>
      <c r="J23" s="106">
        <f>IF($B23="","",Sales_Record!F30)</f>
        <v/>
      </c>
    </row>
    <row r="24">
      <c r="A24" s="104">
        <f>IF($B24="","",ROW()-5)</f>
        <v/>
      </c>
      <c r="B24" s="105">
        <f>IF(Sales_Record!B31="","",Sales_Record!B31)</f>
        <v/>
      </c>
      <c r="C24" s="106">
        <f>IF($B24="","",Sales_Record!C31)</f>
        <v/>
      </c>
      <c r="D24" s="107">
        <f>IF($B24="","",Sales_Record!D31)</f>
        <v/>
      </c>
      <c r="E24" s="106">
        <f>IF($B24="","",Sales_Record!G31)</f>
        <v/>
      </c>
      <c r="F24" s="106">
        <f>IF($B24="","",Sales_Record!E31)</f>
        <v/>
      </c>
      <c r="G24" s="108">
        <f>IF($B24="","",Sales_Record!H31)</f>
        <v/>
      </c>
      <c r="H24" s="109">
        <f>IF($B24="","",Sales_Record!I31)</f>
        <v/>
      </c>
      <c r="I24" s="110">
        <f>IF($B24="","",Sales_Record!J31)</f>
        <v/>
      </c>
      <c r="J24" s="106">
        <f>IF($B24="","",Sales_Record!F31)</f>
        <v/>
      </c>
    </row>
    <row r="25">
      <c r="A25" s="104">
        <f>IF($B25="","",ROW()-5)</f>
        <v/>
      </c>
      <c r="B25" s="105">
        <f>IF(Sales_Record!B32="","",Sales_Record!B32)</f>
        <v/>
      </c>
      <c r="C25" s="106">
        <f>IF($B25="","",Sales_Record!C32)</f>
        <v/>
      </c>
      <c r="D25" s="107">
        <f>IF($B25="","",Sales_Record!D32)</f>
        <v/>
      </c>
      <c r="E25" s="106">
        <f>IF($B25="","",Sales_Record!G32)</f>
        <v/>
      </c>
      <c r="F25" s="106">
        <f>IF($B25="","",Sales_Record!E32)</f>
        <v/>
      </c>
      <c r="G25" s="108">
        <f>IF($B25="","",Sales_Record!H32)</f>
        <v/>
      </c>
      <c r="H25" s="109">
        <f>IF($B25="","",Sales_Record!I32)</f>
        <v/>
      </c>
      <c r="I25" s="110">
        <f>IF($B25="","",Sales_Record!J32)</f>
        <v/>
      </c>
      <c r="J25" s="106">
        <f>IF($B25="","",Sales_Record!F32)</f>
        <v/>
      </c>
    </row>
    <row r="26">
      <c r="A26" s="104">
        <f>IF($B26="","",ROW()-5)</f>
        <v/>
      </c>
      <c r="B26" s="105">
        <f>IF(Sales_Record!B33="","",Sales_Record!B33)</f>
        <v/>
      </c>
      <c r="C26" s="106">
        <f>IF($B26="","",Sales_Record!C33)</f>
        <v/>
      </c>
      <c r="D26" s="107">
        <f>IF($B26="","",Sales_Record!D33)</f>
        <v/>
      </c>
      <c r="E26" s="106">
        <f>IF($B26="","",Sales_Record!G33)</f>
        <v/>
      </c>
      <c r="F26" s="106">
        <f>IF($B26="","",Sales_Record!E33)</f>
        <v/>
      </c>
      <c r="G26" s="108">
        <f>IF($B26="","",Sales_Record!H33)</f>
        <v/>
      </c>
      <c r="H26" s="109">
        <f>IF($B26="","",Sales_Record!I33)</f>
        <v/>
      </c>
      <c r="I26" s="110">
        <f>IF($B26="","",Sales_Record!J33)</f>
        <v/>
      </c>
      <c r="J26" s="106">
        <f>IF($B26="","",Sales_Record!F33)</f>
        <v/>
      </c>
    </row>
    <row r="27">
      <c r="A27" s="104">
        <f>IF($B27="","",ROW()-5)</f>
        <v/>
      </c>
      <c r="B27" s="105">
        <f>IF(Sales_Record!B34="","",Sales_Record!B34)</f>
        <v/>
      </c>
      <c r="C27" s="106">
        <f>IF($B27="","",Sales_Record!C34)</f>
        <v/>
      </c>
      <c r="D27" s="107">
        <f>IF($B27="","",Sales_Record!D34)</f>
        <v/>
      </c>
      <c r="E27" s="106">
        <f>IF($B27="","",Sales_Record!G34)</f>
        <v/>
      </c>
      <c r="F27" s="106">
        <f>IF($B27="","",Sales_Record!E34)</f>
        <v/>
      </c>
      <c r="G27" s="108">
        <f>IF($B27="","",Sales_Record!H34)</f>
        <v/>
      </c>
      <c r="H27" s="109">
        <f>IF($B27="","",Sales_Record!I34)</f>
        <v/>
      </c>
      <c r="I27" s="110">
        <f>IF($B27="","",Sales_Record!J34)</f>
        <v/>
      </c>
      <c r="J27" s="106">
        <f>IF($B27="","",Sales_Record!F34)</f>
        <v/>
      </c>
    </row>
    <row r="28">
      <c r="A28" s="104">
        <f>IF($B28="","",ROW()-5)</f>
        <v/>
      </c>
      <c r="B28" s="105">
        <f>IF(Sales_Record!B35="","",Sales_Record!B35)</f>
        <v/>
      </c>
      <c r="C28" s="106">
        <f>IF($B28="","",Sales_Record!C35)</f>
        <v/>
      </c>
      <c r="D28" s="107">
        <f>IF($B28="","",Sales_Record!D35)</f>
        <v/>
      </c>
      <c r="E28" s="106">
        <f>IF($B28="","",Sales_Record!G35)</f>
        <v/>
      </c>
      <c r="F28" s="106">
        <f>IF($B28="","",Sales_Record!E35)</f>
        <v/>
      </c>
      <c r="G28" s="108">
        <f>IF($B28="","",Sales_Record!H35)</f>
        <v/>
      </c>
      <c r="H28" s="109">
        <f>IF($B28="","",Sales_Record!I35)</f>
        <v/>
      </c>
      <c r="I28" s="110">
        <f>IF($B28="","",Sales_Record!J35)</f>
        <v/>
      </c>
      <c r="J28" s="106">
        <f>IF($B28="","",Sales_Record!F35)</f>
        <v/>
      </c>
    </row>
    <row r="29">
      <c r="A29" s="104">
        <f>IF($B29="","",ROW()-5)</f>
        <v/>
      </c>
      <c r="B29" s="105">
        <f>IF(Sales_Record!B36="","",Sales_Record!B36)</f>
        <v/>
      </c>
      <c r="C29" s="106">
        <f>IF($B29="","",Sales_Record!C36)</f>
        <v/>
      </c>
      <c r="D29" s="107">
        <f>IF($B29="","",Sales_Record!D36)</f>
        <v/>
      </c>
      <c r="E29" s="106">
        <f>IF($B29="","",Sales_Record!G36)</f>
        <v/>
      </c>
      <c r="F29" s="106">
        <f>IF($B29="","",Sales_Record!E36)</f>
        <v/>
      </c>
      <c r="G29" s="108">
        <f>IF($B29="","",Sales_Record!H36)</f>
        <v/>
      </c>
      <c r="H29" s="109">
        <f>IF($B29="","",Sales_Record!I36)</f>
        <v/>
      </c>
      <c r="I29" s="110">
        <f>IF($B29="","",Sales_Record!J36)</f>
        <v/>
      </c>
      <c r="J29" s="106">
        <f>IF($B29="","",Sales_Record!F36)</f>
        <v/>
      </c>
    </row>
    <row r="30">
      <c r="A30" s="104">
        <f>IF($B30="","",ROW()-5)</f>
        <v/>
      </c>
      <c r="B30" s="105">
        <f>IF(Sales_Record!B37="","",Sales_Record!B37)</f>
        <v/>
      </c>
      <c r="C30" s="106">
        <f>IF($B30="","",Sales_Record!C37)</f>
        <v/>
      </c>
      <c r="D30" s="107">
        <f>IF($B30="","",Sales_Record!D37)</f>
        <v/>
      </c>
      <c r="E30" s="106">
        <f>IF($B30="","",Sales_Record!G37)</f>
        <v/>
      </c>
      <c r="F30" s="106">
        <f>IF($B30="","",Sales_Record!E37)</f>
        <v/>
      </c>
      <c r="G30" s="108">
        <f>IF($B30="","",Sales_Record!H37)</f>
        <v/>
      </c>
      <c r="H30" s="109">
        <f>IF($B30="","",Sales_Record!I37)</f>
        <v/>
      </c>
      <c r="I30" s="110">
        <f>IF($B30="","",Sales_Record!J37)</f>
        <v/>
      </c>
      <c r="J30" s="106">
        <f>IF($B30="","",Sales_Record!F37)</f>
        <v/>
      </c>
    </row>
    <row r="31">
      <c r="A31" s="104">
        <f>IF($B31="","",ROW()-5)</f>
        <v/>
      </c>
      <c r="B31" s="105">
        <f>IF(Sales_Record!B38="","",Sales_Record!B38)</f>
        <v/>
      </c>
      <c r="C31" s="106">
        <f>IF($B31="","",Sales_Record!C38)</f>
        <v/>
      </c>
      <c r="D31" s="107">
        <f>IF($B31="","",Sales_Record!D38)</f>
        <v/>
      </c>
      <c r="E31" s="106">
        <f>IF($B31="","",Sales_Record!G38)</f>
        <v/>
      </c>
      <c r="F31" s="106">
        <f>IF($B31="","",Sales_Record!E38)</f>
        <v/>
      </c>
      <c r="G31" s="108">
        <f>IF($B31="","",Sales_Record!H38)</f>
        <v/>
      </c>
      <c r="H31" s="109">
        <f>IF($B31="","",Sales_Record!I38)</f>
        <v/>
      </c>
      <c r="I31" s="110">
        <f>IF($B31="","",Sales_Record!J38)</f>
        <v/>
      </c>
      <c r="J31" s="106">
        <f>IF($B31="","",Sales_Record!F38)</f>
        <v/>
      </c>
    </row>
    <row r="32">
      <c r="A32" s="104">
        <f>IF($B32="","",ROW()-5)</f>
        <v/>
      </c>
      <c r="B32" s="105">
        <f>IF(Sales_Record!B39="","",Sales_Record!B39)</f>
        <v/>
      </c>
      <c r="C32" s="106">
        <f>IF($B32="","",Sales_Record!C39)</f>
        <v/>
      </c>
      <c r="D32" s="107">
        <f>IF($B32="","",Sales_Record!D39)</f>
        <v/>
      </c>
      <c r="E32" s="106">
        <f>IF($B32="","",Sales_Record!G39)</f>
        <v/>
      </c>
      <c r="F32" s="106">
        <f>IF($B32="","",Sales_Record!E39)</f>
        <v/>
      </c>
      <c r="G32" s="108">
        <f>IF($B32="","",Sales_Record!H39)</f>
        <v/>
      </c>
      <c r="H32" s="109">
        <f>IF($B32="","",Sales_Record!I39)</f>
        <v/>
      </c>
      <c r="I32" s="110">
        <f>IF($B32="","",Sales_Record!J39)</f>
        <v/>
      </c>
      <c r="J32" s="106">
        <f>IF($B32="","",Sales_Record!F39)</f>
        <v/>
      </c>
    </row>
    <row r="33">
      <c r="A33" s="104">
        <f>IF($B33="","",ROW()-5)</f>
        <v/>
      </c>
      <c r="B33" s="105">
        <f>IF(Sales_Record!B40="","",Sales_Record!B40)</f>
        <v/>
      </c>
      <c r="C33" s="106">
        <f>IF($B33="","",Sales_Record!C40)</f>
        <v/>
      </c>
      <c r="D33" s="107">
        <f>IF($B33="","",Sales_Record!D40)</f>
        <v/>
      </c>
      <c r="E33" s="106">
        <f>IF($B33="","",Sales_Record!G40)</f>
        <v/>
      </c>
      <c r="F33" s="106">
        <f>IF($B33="","",Sales_Record!E40)</f>
        <v/>
      </c>
      <c r="G33" s="108">
        <f>IF($B33="","",Sales_Record!H40)</f>
        <v/>
      </c>
      <c r="H33" s="109">
        <f>IF($B33="","",Sales_Record!I40)</f>
        <v/>
      </c>
      <c r="I33" s="110">
        <f>IF($B33="","",Sales_Record!J40)</f>
        <v/>
      </c>
      <c r="J33" s="106">
        <f>IF($B33="","",Sales_Record!F40)</f>
        <v/>
      </c>
    </row>
    <row r="34">
      <c r="A34" s="104">
        <f>IF($B34="","",ROW()-5)</f>
        <v/>
      </c>
      <c r="B34" s="105">
        <f>IF(Sales_Record!B41="","",Sales_Record!B41)</f>
        <v/>
      </c>
      <c r="C34" s="106">
        <f>IF($B34="","",Sales_Record!C41)</f>
        <v/>
      </c>
      <c r="D34" s="107">
        <f>IF($B34="","",Sales_Record!D41)</f>
        <v/>
      </c>
      <c r="E34" s="106">
        <f>IF($B34="","",Sales_Record!G41)</f>
        <v/>
      </c>
      <c r="F34" s="106">
        <f>IF($B34="","",Sales_Record!E41)</f>
        <v/>
      </c>
      <c r="G34" s="108">
        <f>IF($B34="","",Sales_Record!H41)</f>
        <v/>
      </c>
      <c r="H34" s="109">
        <f>IF($B34="","",Sales_Record!I41)</f>
        <v/>
      </c>
      <c r="I34" s="110">
        <f>IF($B34="","",Sales_Record!J41)</f>
        <v/>
      </c>
      <c r="J34" s="106">
        <f>IF($B34="","",Sales_Record!F41)</f>
        <v/>
      </c>
    </row>
    <row r="35">
      <c r="A35" s="104">
        <f>IF($B35="","",ROW()-5)</f>
        <v/>
      </c>
      <c r="B35" s="105">
        <f>IF(Sales_Record!B42="","",Sales_Record!B42)</f>
        <v/>
      </c>
      <c r="C35" s="106">
        <f>IF($B35="","",Sales_Record!C42)</f>
        <v/>
      </c>
      <c r="D35" s="107">
        <f>IF($B35="","",Sales_Record!D42)</f>
        <v/>
      </c>
      <c r="E35" s="106">
        <f>IF($B35="","",Sales_Record!G42)</f>
        <v/>
      </c>
      <c r="F35" s="106">
        <f>IF($B35="","",Sales_Record!E42)</f>
        <v/>
      </c>
      <c r="G35" s="108">
        <f>IF($B35="","",Sales_Record!H42)</f>
        <v/>
      </c>
      <c r="H35" s="109">
        <f>IF($B35="","",Sales_Record!I42)</f>
        <v/>
      </c>
      <c r="I35" s="110">
        <f>IF($B35="","",Sales_Record!J42)</f>
        <v/>
      </c>
      <c r="J35" s="106">
        <f>IF($B35="","",Sales_Record!F42)</f>
        <v/>
      </c>
    </row>
    <row r="36">
      <c r="A36" s="104">
        <f>IF($B36="","",ROW()-5)</f>
        <v/>
      </c>
      <c r="B36" s="105">
        <f>IF(Sales_Record!B43="","",Sales_Record!B43)</f>
        <v/>
      </c>
      <c r="C36" s="106">
        <f>IF($B36="","",Sales_Record!C43)</f>
        <v/>
      </c>
      <c r="D36" s="107">
        <f>IF($B36="","",Sales_Record!D43)</f>
        <v/>
      </c>
      <c r="E36" s="106">
        <f>IF($B36="","",Sales_Record!G43)</f>
        <v/>
      </c>
      <c r="F36" s="106">
        <f>IF($B36="","",Sales_Record!E43)</f>
        <v/>
      </c>
      <c r="G36" s="108">
        <f>IF($B36="","",Sales_Record!H43)</f>
        <v/>
      </c>
      <c r="H36" s="109">
        <f>IF($B36="","",Sales_Record!I43)</f>
        <v/>
      </c>
      <c r="I36" s="110">
        <f>IF($B36="","",Sales_Record!J43)</f>
        <v/>
      </c>
      <c r="J36" s="106">
        <f>IF($B36="","",Sales_Record!F43)</f>
        <v/>
      </c>
    </row>
    <row r="37">
      <c r="A37" s="104">
        <f>IF($B37="","",ROW()-5)</f>
        <v/>
      </c>
      <c r="B37" s="105">
        <f>IF(Sales_Record!B44="","",Sales_Record!B44)</f>
        <v/>
      </c>
      <c r="C37" s="106">
        <f>IF($B37="","",Sales_Record!C44)</f>
        <v/>
      </c>
      <c r="D37" s="107">
        <f>IF($B37="","",Sales_Record!D44)</f>
        <v/>
      </c>
      <c r="E37" s="106">
        <f>IF($B37="","",Sales_Record!G44)</f>
        <v/>
      </c>
      <c r="F37" s="106">
        <f>IF($B37="","",Sales_Record!E44)</f>
        <v/>
      </c>
      <c r="G37" s="108">
        <f>IF($B37="","",Sales_Record!H44)</f>
        <v/>
      </c>
      <c r="H37" s="109">
        <f>IF($B37="","",Sales_Record!I44)</f>
        <v/>
      </c>
      <c r="I37" s="110">
        <f>IF($B37="","",Sales_Record!J44)</f>
        <v/>
      </c>
      <c r="J37" s="106">
        <f>IF($B37="","",Sales_Record!F44)</f>
        <v/>
      </c>
    </row>
    <row r="38">
      <c r="A38" s="104">
        <f>IF($B38="","",ROW()-5)</f>
        <v/>
      </c>
      <c r="B38" s="105">
        <f>IF(Sales_Record!B45="","",Sales_Record!B45)</f>
        <v/>
      </c>
      <c r="C38" s="106">
        <f>IF($B38="","",Sales_Record!C45)</f>
        <v/>
      </c>
      <c r="D38" s="107">
        <f>IF($B38="","",Sales_Record!D45)</f>
        <v/>
      </c>
      <c r="E38" s="106">
        <f>IF($B38="","",Sales_Record!G45)</f>
        <v/>
      </c>
      <c r="F38" s="106">
        <f>IF($B38="","",Sales_Record!E45)</f>
        <v/>
      </c>
      <c r="G38" s="108">
        <f>IF($B38="","",Sales_Record!H45)</f>
        <v/>
      </c>
      <c r="H38" s="109">
        <f>IF($B38="","",Sales_Record!I45)</f>
        <v/>
      </c>
      <c r="I38" s="110">
        <f>IF($B38="","",Sales_Record!J45)</f>
        <v/>
      </c>
      <c r="J38" s="106">
        <f>IF($B38="","",Sales_Record!F45)</f>
        <v/>
      </c>
    </row>
    <row r="39">
      <c r="A39" s="104">
        <f>IF($B39="","",ROW()-5)</f>
        <v/>
      </c>
      <c r="B39" s="105">
        <f>IF(Sales_Record!B46="","",Sales_Record!B46)</f>
        <v/>
      </c>
      <c r="C39" s="106">
        <f>IF($B39="","",Sales_Record!C46)</f>
        <v/>
      </c>
      <c r="D39" s="107">
        <f>IF($B39="","",Sales_Record!D46)</f>
        <v/>
      </c>
      <c r="E39" s="106">
        <f>IF($B39="","",Sales_Record!G46)</f>
        <v/>
      </c>
      <c r="F39" s="106">
        <f>IF($B39="","",Sales_Record!E46)</f>
        <v/>
      </c>
      <c r="G39" s="108">
        <f>IF($B39="","",Sales_Record!H46)</f>
        <v/>
      </c>
      <c r="H39" s="109">
        <f>IF($B39="","",Sales_Record!I46)</f>
        <v/>
      </c>
      <c r="I39" s="110">
        <f>IF($B39="","",Sales_Record!J46)</f>
        <v/>
      </c>
      <c r="J39" s="106">
        <f>IF($B39="","",Sales_Record!F46)</f>
        <v/>
      </c>
    </row>
    <row r="40">
      <c r="A40" s="104">
        <f>IF($B40="","",ROW()-5)</f>
        <v/>
      </c>
      <c r="B40" s="105">
        <f>IF(Sales_Record!B47="","",Sales_Record!B47)</f>
        <v/>
      </c>
      <c r="C40" s="106">
        <f>IF($B40="","",Sales_Record!C47)</f>
        <v/>
      </c>
      <c r="D40" s="107">
        <f>IF($B40="","",Sales_Record!D47)</f>
        <v/>
      </c>
      <c r="E40" s="106">
        <f>IF($B40="","",Sales_Record!G47)</f>
        <v/>
      </c>
      <c r="F40" s="106">
        <f>IF($B40="","",Sales_Record!E47)</f>
        <v/>
      </c>
      <c r="G40" s="108">
        <f>IF($B40="","",Sales_Record!H47)</f>
        <v/>
      </c>
      <c r="H40" s="109">
        <f>IF($B40="","",Sales_Record!I47)</f>
        <v/>
      </c>
      <c r="I40" s="110">
        <f>IF($B40="","",Sales_Record!J47)</f>
        <v/>
      </c>
      <c r="J40" s="106">
        <f>IF($B40="","",Sales_Record!F47)</f>
        <v/>
      </c>
    </row>
    <row r="41">
      <c r="A41" s="104">
        <f>IF($B41="","",ROW()-5)</f>
        <v/>
      </c>
      <c r="B41" s="105">
        <f>IF(Sales_Record!B48="","",Sales_Record!B48)</f>
        <v/>
      </c>
      <c r="C41" s="106">
        <f>IF($B41="","",Sales_Record!C48)</f>
        <v/>
      </c>
      <c r="D41" s="107">
        <f>IF($B41="","",Sales_Record!D48)</f>
        <v/>
      </c>
      <c r="E41" s="106">
        <f>IF($B41="","",Sales_Record!G48)</f>
        <v/>
      </c>
      <c r="F41" s="106">
        <f>IF($B41="","",Sales_Record!E48)</f>
        <v/>
      </c>
      <c r="G41" s="108">
        <f>IF($B41="","",Sales_Record!H48)</f>
        <v/>
      </c>
      <c r="H41" s="109">
        <f>IF($B41="","",Sales_Record!I48)</f>
        <v/>
      </c>
      <c r="I41" s="110">
        <f>IF($B41="","",Sales_Record!J48)</f>
        <v/>
      </c>
      <c r="J41" s="106">
        <f>IF($B41="","",Sales_Record!F48)</f>
        <v/>
      </c>
    </row>
    <row r="42">
      <c r="A42" s="104">
        <f>IF($B42="","",ROW()-5)</f>
        <v/>
      </c>
      <c r="B42" s="105">
        <f>IF(Sales_Record!B49="","",Sales_Record!B49)</f>
        <v/>
      </c>
      <c r="C42" s="106">
        <f>IF($B42="","",Sales_Record!C49)</f>
        <v/>
      </c>
      <c r="D42" s="107">
        <f>IF($B42="","",Sales_Record!D49)</f>
        <v/>
      </c>
      <c r="E42" s="106">
        <f>IF($B42="","",Sales_Record!G49)</f>
        <v/>
      </c>
      <c r="F42" s="106">
        <f>IF($B42="","",Sales_Record!E49)</f>
        <v/>
      </c>
      <c r="G42" s="108">
        <f>IF($B42="","",Sales_Record!H49)</f>
        <v/>
      </c>
      <c r="H42" s="109">
        <f>IF($B42="","",Sales_Record!I49)</f>
        <v/>
      </c>
      <c r="I42" s="110">
        <f>IF($B42="","",Sales_Record!J49)</f>
        <v/>
      </c>
      <c r="J42" s="106">
        <f>IF($B42="","",Sales_Record!F49)</f>
        <v/>
      </c>
    </row>
    <row r="43">
      <c r="A43" s="104">
        <f>IF($B43="","",ROW()-5)</f>
        <v/>
      </c>
      <c r="B43" s="105">
        <f>IF(Sales_Record!B50="","",Sales_Record!B50)</f>
        <v/>
      </c>
      <c r="C43" s="106">
        <f>IF($B43="","",Sales_Record!C50)</f>
        <v/>
      </c>
      <c r="D43" s="107">
        <f>IF($B43="","",Sales_Record!D50)</f>
        <v/>
      </c>
      <c r="E43" s="106">
        <f>IF($B43="","",Sales_Record!G50)</f>
        <v/>
      </c>
      <c r="F43" s="106">
        <f>IF($B43="","",Sales_Record!E50)</f>
        <v/>
      </c>
      <c r="G43" s="108">
        <f>IF($B43="","",Sales_Record!H50)</f>
        <v/>
      </c>
      <c r="H43" s="109">
        <f>IF($B43="","",Sales_Record!I50)</f>
        <v/>
      </c>
      <c r="I43" s="110">
        <f>IF($B43="","",Sales_Record!J50)</f>
        <v/>
      </c>
      <c r="J43" s="106">
        <f>IF($B43="","",Sales_Record!F50)</f>
        <v/>
      </c>
    </row>
    <row r="44">
      <c r="A44" s="104">
        <f>IF($B44="","",ROW()-5)</f>
        <v/>
      </c>
      <c r="B44" s="105">
        <f>IF(Sales_Record!B51="","",Sales_Record!B51)</f>
        <v/>
      </c>
      <c r="C44" s="106">
        <f>IF($B44="","",Sales_Record!C51)</f>
        <v/>
      </c>
      <c r="D44" s="107">
        <f>IF($B44="","",Sales_Record!D51)</f>
        <v/>
      </c>
      <c r="E44" s="106">
        <f>IF($B44="","",Sales_Record!G51)</f>
        <v/>
      </c>
      <c r="F44" s="106">
        <f>IF($B44="","",Sales_Record!E51)</f>
        <v/>
      </c>
      <c r="G44" s="108">
        <f>IF($B44="","",Sales_Record!H51)</f>
        <v/>
      </c>
      <c r="H44" s="109">
        <f>IF($B44="","",Sales_Record!I51)</f>
        <v/>
      </c>
      <c r="I44" s="110">
        <f>IF($B44="","",Sales_Record!J51)</f>
        <v/>
      </c>
      <c r="J44" s="106">
        <f>IF($B44="","",Sales_Record!F51)</f>
        <v/>
      </c>
    </row>
    <row r="45">
      <c r="A45" s="104">
        <f>IF($B45="","",ROW()-5)</f>
        <v/>
      </c>
      <c r="B45" s="105">
        <f>IF(Sales_Record!B52="","",Sales_Record!B52)</f>
        <v/>
      </c>
      <c r="C45" s="106">
        <f>IF($B45="","",Sales_Record!C52)</f>
        <v/>
      </c>
      <c r="D45" s="107">
        <f>IF($B45="","",Sales_Record!D52)</f>
        <v/>
      </c>
      <c r="E45" s="106">
        <f>IF($B45="","",Sales_Record!G52)</f>
        <v/>
      </c>
      <c r="F45" s="106">
        <f>IF($B45="","",Sales_Record!E52)</f>
        <v/>
      </c>
      <c r="G45" s="108">
        <f>IF($B45="","",Sales_Record!H52)</f>
        <v/>
      </c>
      <c r="H45" s="109">
        <f>IF($B45="","",Sales_Record!I52)</f>
        <v/>
      </c>
      <c r="I45" s="110">
        <f>IF($B45="","",Sales_Record!J52)</f>
        <v/>
      </c>
      <c r="J45" s="106">
        <f>IF($B45="","",Sales_Record!F52)</f>
        <v/>
      </c>
    </row>
    <row r="46">
      <c r="A46" s="121" t="inlineStr">
        <is>
          <t>รวมรายได้ทั้งหมด</t>
        </is>
      </c>
      <c r="B46" s="84" t="n"/>
      <c r="C46" s="84" t="n"/>
      <c r="D46" s="84" t="n"/>
      <c r="E46" s="84" t="n"/>
      <c r="F46" s="85" t="n"/>
      <c r="G46" s="124">
        <f>SUM(G6:G45)</f>
        <v/>
      </c>
      <c r="H46" s="113">
        <f>COUNT(A6:A45)</f>
        <v/>
      </c>
      <c r="I46" s="124">
        <f>SUM(I6:I45)</f>
        <v/>
      </c>
      <c r="J46" s="121" t="n"/>
    </row>
    <row r="49" ht="18" customHeight="1">
      <c r="A49" s="128" t="inlineStr">
        <is>
          <t>หมายเหตุ / วิธีใช้</t>
        </is>
      </c>
      <c r="B49" s="126" t="n"/>
      <c r="C49" s="126" t="n"/>
      <c r="D49" s="126" t="n"/>
      <c r="E49" s="126" t="n"/>
      <c r="F49" s="126" t="n"/>
    </row>
    <row r="50" ht="15" customHeight="1">
      <c r="A50" s="127" t="inlineStr">
        <is>
          <t>• ดึงข้อมูลทุกดีลจากแท็บ Sales_Record อัตโนมัติ — ไม่ต้องกรอกที่นี่</t>
        </is>
      </c>
    </row>
    <row r="51" ht="15" customHeight="1">
      <c r="A51" s="127" t="inlineStr">
        <is>
          <t>• รายได้สุทธิ = ราคาเต็ม × (1 − ส่วนลด%)</t>
        </is>
      </c>
    </row>
    <row r="52" ht="15" customHeight="1">
      <c r="A52" s="127" t="inlineStr">
        <is>
          <t>• แถวล่างสุด = รวมราคาเต็ม · จำนวนดีล · รวมรายได้สุทธิ</t>
        </is>
      </c>
    </row>
    <row r="53" ht="15" customHeight="1">
      <c r="A53" s="139" t="inlineStr">
        <is>
          <t>• ทั้งแผ่นเป็นช่องคำนวณ ล็อกไว้ทั้งหมด (ไม่ต้องกรอก)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0">
    <mergeCell ref="A49:F49"/>
    <mergeCell ref="A52:F52"/>
    <mergeCell ref="A51:F51"/>
    <mergeCell ref="A46:F46"/>
    <mergeCell ref="C1:J1"/>
    <mergeCell ref="A3:J3"/>
    <mergeCell ref="C2:J2"/>
    <mergeCell ref="A50:F50"/>
    <mergeCell ref="A1:B2"/>
    <mergeCell ref="A53:F5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B1" s="58" t="inlineStr">
        <is>
          <t>EASYCRM — รายงานค่าคอมมิชชั่น 2026</t>
        </is>
      </c>
    </row>
    <row r="2">
      <c r="B2" s="59" t="inlineStr">
        <is>
          <t>สรุปรายคน · คำนวณอัตโนมัติจากแท็บ Sales_Record</t>
        </is>
      </c>
    </row>
    <row r="4" ht="30" customHeight="1">
      <c r="B4" s="48" t="inlineStr">
        <is>
          <t>พนักงานขาย</t>
        </is>
      </c>
      <c r="C4" s="48" t="inlineStr">
        <is>
          <t>จำนวนดีล</t>
        </is>
      </c>
      <c r="D4" s="48" t="inlineStr">
        <is>
          <t>รายได้ (บาท)</t>
        </is>
      </c>
      <c r="E4" s="48" t="inlineStr">
        <is>
          <t>ค่าคอม (บาท)</t>
        </is>
      </c>
      <c r="F4" s="48" t="inlineStr">
        <is>
          <t>จ่ายแล้ว (บาท)</t>
        </is>
      </c>
      <c r="G4" s="48" t="inlineStr">
        <is>
          <t>ค้างจ่าย (บาท)</t>
        </is>
      </c>
    </row>
    <row r="5">
      <c r="B5" s="61">
        <f>IF('ทีมขาย'!A6="","",'ทีมขาย'!A6)</f>
        <v/>
      </c>
      <c r="C5" s="62">
        <f>IF($B5="","",'ทีมขาย'!D6)</f>
        <v/>
      </c>
      <c r="D5" s="63">
        <f>IF($B5="","",'ทีมขาย'!E6)</f>
        <v/>
      </c>
      <c r="E5" s="64">
        <f>IF($B5="","",'ทีมขาย'!F6)</f>
        <v/>
      </c>
      <c r="F5" s="63">
        <f>IF($B5="","",'ทีมขาย'!G6)</f>
        <v/>
      </c>
      <c r="G5" s="63">
        <f>IF($B5="","",'ทีมขาย'!H6)</f>
        <v/>
      </c>
    </row>
    <row r="6">
      <c r="B6" s="61">
        <f>IF('ทีมขาย'!A7="","",'ทีมขาย'!A7)</f>
        <v/>
      </c>
      <c r="C6" s="62">
        <f>IF($B6="","",'ทีมขาย'!D7)</f>
        <v/>
      </c>
      <c r="D6" s="63">
        <f>IF($B6="","",'ทีมขาย'!E7)</f>
        <v/>
      </c>
      <c r="E6" s="64">
        <f>IF($B6="","",'ทีมขาย'!F7)</f>
        <v/>
      </c>
      <c r="F6" s="63">
        <f>IF($B6="","",'ทีมขาย'!G7)</f>
        <v/>
      </c>
      <c r="G6" s="63">
        <f>IF($B6="","",'ทีมขาย'!H7)</f>
        <v/>
      </c>
    </row>
    <row r="7">
      <c r="B7" s="61">
        <f>IF('ทีมขาย'!A8="","",'ทีมขาย'!A8)</f>
        <v/>
      </c>
      <c r="C7" s="62">
        <f>IF($B7="","",'ทีมขาย'!D8)</f>
        <v/>
      </c>
      <c r="D7" s="63">
        <f>IF($B7="","",'ทีมขาย'!E8)</f>
        <v/>
      </c>
      <c r="E7" s="64">
        <f>IF($B7="","",'ทีมขาย'!F8)</f>
        <v/>
      </c>
      <c r="F7" s="63">
        <f>IF($B7="","",'ทีมขาย'!G8)</f>
        <v/>
      </c>
      <c r="G7" s="63">
        <f>IF($B7="","",'ทีมขาย'!H8)</f>
        <v/>
      </c>
    </row>
    <row r="8">
      <c r="B8" s="61">
        <f>IF('ทีมขาย'!A9="","",'ทีมขาย'!A9)</f>
        <v/>
      </c>
      <c r="C8" s="62">
        <f>IF($B8="","",'ทีมขาย'!D9)</f>
        <v/>
      </c>
      <c r="D8" s="63">
        <f>IF($B8="","",'ทีมขาย'!E9)</f>
        <v/>
      </c>
      <c r="E8" s="64">
        <f>IF($B8="","",'ทีมขาย'!F9)</f>
        <v/>
      </c>
      <c r="F8" s="63">
        <f>IF($B8="","",'ทีมขาย'!G9)</f>
        <v/>
      </c>
      <c r="G8" s="63">
        <f>IF($B8="","",'ทีมขาย'!H9)</f>
        <v/>
      </c>
    </row>
    <row r="9">
      <c r="B9" s="61">
        <f>IF('ทีมขาย'!A10="","",'ทีมขาย'!A10)</f>
        <v/>
      </c>
      <c r="C9" s="62">
        <f>IF($B9="","",'ทีมขาย'!D10)</f>
        <v/>
      </c>
      <c r="D9" s="63">
        <f>IF($B9="","",'ทีมขาย'!E10)</f>
        <v/>
      </c>
      <c r="E9" s="64">
        <f>IF($B9="","",'ทีมขาย'!F10)</f>
        <v/>
      </c>
      <c r="F9" s="63">
        <f>IF($B9="","",'ทีมขาย'!G10)</f>
        <v/>
      </c>
      <c r="G9" s="63">
        <f>IF($B9="","",'ทีมขาย'!H10)</f>
        <v/>
      </c>
    </row>
    <row r="10">
      <c r="B10" s="61">
        <f>IF('ทีมขาย'!A11="","",'ทีมขาย'!A11)</f>
        <v/>
      </c>
      <c r="C10" s="62">
        <f>IF($B10="","",'ทีมขาย'!D11)</f>
        <v/>
      </c>
      <c r="D10" s="63">
        <f>IF($B10="","",'ทีมขาย'!E11)</f>
        <v/>
      </c>
      <c r="E10" s="64">
        <f>IF($B10="","",'ทีมขาย'!F11)</f>
        <v/>
      </c>
      <c r="F10" s="63">
        <f>IF($B10="","",'ทีมขาย'!G11)</f>
        <v/>
      </c>
      <c r="G10" s="63">
        <f>IF($B10="","",'ทีมขาย'!H11)</f>
        <v/>
      </c>
    </row>
    <row r="11">
      <c r="B11" s="61">
        <f>IF('ทีมขาย'!A12="","",'ทีมขาย'!A12)</f>
        <v/>
      </c>
      <c r="C11" s="62">
        <f>IF($B11="","",'ทีมขาย'!D12)</f>
        <v/>
      </c>
      <c r="D11" s="63">
        <f>IF($B11="","",'ทีมขาย'!E12)</f>
        <v/>
      </c>
      <c r="E11" s="64">
        <f>IF($B11="","",'ทีมขาย'!F12)</f>
        <v/>
      </c>
      <c r="F11" s="63">
        <f>IF($B11="","",'ทีมขาย'!G12)</f>
        <v/>
      </c>
      <c r="G11" s="63">
        <f>IF($B11="","",'ทีมขาย'!H12)</f>
        <v/>
      </c>
    </row>
    <row r="12">
      <c r="B12" s="61">
        <f>IF('ทีมขาย'!A13="","",'ทีมขาย'!A13)</f>
        <v/>
      </c>
      <c r="C12" s="62">
        <f>IF($B12="","",'ทีมขาย'!D13)</f>
        <v/>
      </c>
      <c r="D12" s="63">
        <f>IF($B12="","",'ทีมขาย'!E13)</f>
        <v/>
      </c>
      <c r="E12" s="64">
        <f>IF($B12="","",'ทีมขาย'!F13)</f>
        <v/>
      </c>
      <c r="F12" s="63">
        <f>IF($B12="","",'ทีมขาย'!G13)</f>
        <v/>
      </c>
      <c r="G12" s="63">
        <f>IF($B12="","",'ทีมขาย'!H13)</f>
        <v/>
      </c>
    </row>
    <row r="13">
      <c r="B13" s="61">
        <f>IF('ทีมขาย'!A14="","",'ทีมขาย'!A14)</f>
        <v/>
      </c>
      <c r="C13" s="62">
        <f>IF($B13="","",'ทีมขาย'!D14)</f>
        <v/>
      </c>
      <c r="D13" s="63">
        <f>IF($B13="","",'ทีมขาย'!E14)</f>
        <v/>
      </c>
      <c r="E13" s="64">
        <f>IF($B13="","",'ทีมขาย'!F14)</f>
        <v/>
      </c>
      <c r="F13" s="63">
        <f>IF($B13="","",'ทีมขาย'!G14)</f>
        <v/>
      </c>
      <c r="G13" s="63">
        <f>IF($B13="","",'ทีมขาย'!H14)</f>
        <v/>
      </c>
    </row>
    <row r="14">
      <c r="B14" s="61">
        <f>IF('ทีมขาย'!A15="","",'ทีมขาย'!A15)</f>
        <v/>
      </c>
      <c r="C14" s="62">
        <f>IF($B14="","",'ทีมขาย'!D15)</f>
        <v/>
      </c>
      <c r="D14" s="63">
        <f>IF($B14="","",'ทีมขาย'!E15)</f>
        <v/>
      </c>
      <c r="E14" s="64">
        <f>IF($B14="","",'ทีมขาย'!F15)</f>
        <v/>
      </c>
      <c r="F14" s="63">
        <f>IF($B14="","",'ทีมขาย'!G15)</f>
        <v/>
      </c>
      <c r="G14" s="63">
        <f>IF($B14="","",'ทีมขาย'!H15)</f>
        <v/>
      </c>
    </row>
    <row r="15">
      <c r="B15" s="61">
        <f>IF('ทีมขาย'!A16="","",'ทีมขาย'!A16)</f>
        <v/>
      </c>
      <c r="C15" s="62">
        <f>IF($B15="","",'ทีมขาย'!D16)</f>
        <v/>
      </c>
      <c r="D15" s="63">
        <f>IF($B15="","",'ทีมขาย'!E16)</f>
        <v/>
      </c>
      <c r="E15" s="64">
        <f>IF($B15="","",'ทีมขาย'!F16)</f>
        <v/>
      </c>
      <c r="F15" s="63">
        <f>IF($B15="","",'ทีมขาย'!G16)</f>
        <v/>
      </c>
      <c r="G15" s="63">
        <f>IF($B15="","",'ทีมขาย'!H16)</f>
        <v/>
      </c>
    </row>
    <row r="16">
      <c r="B16" s="61">
        <f>IF('ทีมขาย'!A17="","",'ทีมขาย'!A17)</f>
        <v/>
      </c>
      <c r="C16" s="62">
        <f>IF($B16="","",'ทีมขาย'!D17)</f>
        <v/>
      </c>
      <c r="D16" s="63">
        <f>IF($B16="","",'ทีมขาย'!E17)</f>
        <v/>
      </c>
      <c r="E16" s="64">
        <f>IF($B16="","",'ทีมขาย'!F17)</f>
        <v/>
      </c>
      <c r="F16" s="63">
        <f>IF($B16="","",'ทีมขาย'!G17)</f>
        <v/>
      </c>
      <c r="G16" s="63">
        <f>IF($B16="","",'ทีมขาย'!H17)</f>
        <v/>
      </c>
    </row>
    <row r="17">
      <c r="B17" s="61">
        <f>IF('ทีมขาย'!A18="","",'ทีมขาย'!A18)</f>
        <v/>
      </c>
      <c r="C17" s="62">
        <f>IF($B17="","",'ทีมขาย'!D18)</f>
        <v/>
      </c>
      <c r="D17" s="63">
        <f>IF($B17="","",'ทีมขาย'!E18)</f>
        <v/>
      </c>
      <c r="E17" s="64">
        <f>IF($B17="","",'ทีมขาย'!F18)</f>
        <v/>
      </c>
      <c r="F17" s="63">
        <f>IF($B17="","",'ทีมขาย'!G18)</f>
        <v/>
      </c>
      <c r="G17" s="63">
        <f>IF($B17="","",'ทีมขาย'!H18)</f>
        <v/>
      </c>
    </row>
    <row r="18">
      <c r="B18" s="61">
        <f>IF('ทีมขาย'!A19="","",'ทีมขาย'!A19)</f>
        <v/>
      </c>
      <c r="C18" s="62">
        <f>IF($B18="","",'ทีมขาย'!D19)</f>
        <v/>
      </c>
      <c r="D18" s="63">
        <f>IF($B18="","",'ทีมขาย'!E19)</f>
        <v/>
      </c>
      <c r="E18" s="64">
        <f>IF($B18="","",'ทีมขาย'!F19)</f>
        <v/>
      </c>
      <c r="F18" s="63">
        <f>IF($B18="","",'ทีมขาย'!G19)</f>
        <v/>
      </c>
      <c r="G18" s="63">
        <f>IF($B18="","",'ทีมขาย'!H19)</f>
        <v/>
      </c>
    </row>
    <row r="19">
      <c r="B19" s="61">
        <f>IF('ทีมขาย'!A20="","",'ทีมขาย'!A20)</f>
        <v/>
      </c>
      <c r="C19" s="62">
        <f>IF($B19="","",'ทีมขาย'!D20)</f>
        <v/>
      </c>
      <c r="D19" s="63">
        <f>IF($B19="","",'ทีมขาย'!E20)</f>
        <v/>
      </c>
      <c r="E19" s="64">
        <f>IF($B19="","",'ทีมขาย'!F20)</f>
        <v/>
      </c>
      <c r="F19" s="63">
        <f>IF($B19="","",'ทีมขาย'!G20)</f>
        <v/>
      </c>
      <c r="G19" s="63">
        <f>IF($B19="","",'ทีมขาย'!H20)</f>
        <v/>
      </c>
    </row>
    <row r="20">
      <c r="B20" s="61" t="inlineStr">
        <is>
          <t>รวมทั้งทีม</t>
        </is>
      </c>
      <c r="C20" s="62">
        <f>SUM(C5:C19)</f>
        <v/>
      </c>
      <c r="D20" s="63">
        <f>SUM(D5:D19)</f>
        <v/>
      </c>
      <c r="E20" s="64">
        <f>SUM(E5:E19)</f>
        <v/>
      </c>
      <c r="F20" s="63">
        <f>SUM(F5:F19)</f>
        <v/>
      </c>
      <c r="G20" s="63">
        <f>SUM(G5:G19)</f>
        <v/>
      </c>
    </row>
    <row r="23" ht="18" customHeight="1">
      <c r="B23" s="128" t="inlineStr">
        <is>
          <t>หมายเหตุ / วิธีใช้</t>
        </is>
      </c>
      <c r="C23" s="126" t="n"/>
      <c r="D23" s="126" t="n"/>
      <c r="E23" s="126" t="n"/>
      <c r="F23" s="126" t="n"/>
      <c r="G23" s="126" t="n"/>
    </row>
    <row r="24" ht="15" customHeight="1">
      <c r="B24" s="127" t="inlineStr">
        <is>
          <t>• สรุปค่าคอมรายคน คำนวณจาก Sales_Record + ทีมขาย — ไม่ต้องกรอก</t>
        </is>
      </c>
    </row>
    <row r="25" ht="15" customHeight="1">
      <c r="B25" s="127" t="inlineStr">
        <is>
          <t>• ค่าคอม = งานที่ปิดเอง (รายคน) + ส่วนแบ่งจากดีลทีม</t>
        </is>
      </c>
    </row>
    <row r="26" ht="15" customHeight="1">
      <c r="B26" s="127" t="inlineStr">
        <is>
          <t>• เพิ่มคนในแท็บทีมขาย รายงานนี้จะแสดงตามเอง</t>
        </is>
      </c>
    </row>
    <row r="27" ht="15" customHeight="1">
      <c r="B27" s="139" t="inlineStr">
        <is>
          <t>• ทั้งแผ่นคำนวณอัตโนมัติ ล็อกไว้ทั้งหมด · ปลดล็อก: Review ▸ Unprotect Sheet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B24:G24"/>
    <mergeCell ref="B2:G2"/>
    <mergeCell ref="B23:G23"/>
    <mergeCell ref="B27:G27"/>
    <mergeCell ref="B1:G1"/>
    <mergeCell ref="B26:G26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2026-06-19T02:22:37Z</dcterms:created>
  <dcterms:modified xsi:type="dcterms:W3CDTF">2026-06-19T05:57:10Z</dcterms:modified>
</cp:coreProperties>
</file>