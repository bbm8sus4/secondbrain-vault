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aexgee/SecondBrain/EasyCRM/"/>
    </mc:Choice>
  </mc:AlternateContent>
  <xr:revisionPtr revIDLastSave="0" documentId="13_ncr:1_{C7FDF0B6-B613-6F4C-8AA2-E8E1E2F0D240}" xr6:coauthVersionLast="47" xr6:coauthVersionMax="47" xr10:uidLastSave="{00000000-0000-0000-0000-000000000000}"/>
  <bookViews>
    <workbookView xWindow="15120" yWindow="660" windowWidth="15120" windowHeight="18980" activeTab="3" xr2:uid="{00000000-000D-0000-FFFF-FFFF00000000}"/>
  </bookViews>
  <sheets>
    <sheet name="Sales_Record" sheetId="1" r:id="rId1"/>
    <sheet name="ทีมขาย" sheetId="2" r:id="rId2"/>
    <sheet name="Rate" sheetId="3" r:id="rId3"/>
    <sheet name="รายได้" sheetId="4" r:id="rId4"/>
    <sheet name="REPORT (TH)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5" l="1"/>
  <c r="G19" i="5" s="1"/>
  <c r="G18" i="5"/>
  <c r="F18" i="5"/>
  <c r="E18" i="5"/>
  <c r="D18" i="5"/>
  <c r="B18" i="5"/>
  <c r="C18" i="5" s="1"/>
  <c r="E17" i="5"/>
  <c r="D17" i="5"/>
  <c r="B17" i="5"/>
  <c r="G17" i="5" s="1"/>
  <c r="E16" i="5"/>
  <c r="B16" i="5"/>
  <c r="G16" i="5" s="1"/>
  <c r="G15" i="5"/>
  <c r="B15" i="5"/>
  <c r="F15" i="5" s="1"/>
  <c r="B14" i="5"/>
  <c r="G14" i="5" s="1"/>
  <c r="G13" i="5"/>
  <c r="F13" i="5"/>
  <c r="E13" i="5"/>
  <c r="D13" i="5"/>
  <c r="B13" i="5"/>
  <c r="C13" i="5" s="1"/>
  <c r="D12" i="5"/>
  <c r="B12" i="5"/>
  <c r="G12" i="5" s="1"/>
  <c r="E11" i="5"/>
  <c r="B11" i="5"/>
  <c r="G11" i="5" s="1"/>
  <c r="G10" i="5"/>
  <c r="B10" i="5"/>
  <c r="F10" i="5" s="1"/>
  <c r="G9" i="5"/>
  <c r="B9" i="5"/>
  <c r="F9" i="5" s="1"/>
  <c r="G8" i="5"/>
  <c r="F8" i="5"/>
  <c r="E8" i="5"/>
  <c r="D8" i="5"/>
  <c r="B8" i="5"/>
  <c r="C8" i="5" s="1"/>
  <c r="B7" i="5"/>
  <c r="B6" i="5"/>
  <c r="B5" i="5"/>
  <c r="J45" i="4"/>
  <c r="I45" i="4"/>
  <c r="H45" i="4"/>
  <c r="G45" i="4"/>
  <c r="F45" i="4"/>
  <c r="E45" i="4"/>
  <c r="D45" i="4"/>
  <c r="B45" i="4"/>
  <c r="C45" i="4" s="1"/>
  <c r="C44" i="4"/>
  <c r="B44" i="4"/>
  <c r="H44" i="4" s="1"/>
  <c r="J43" i="4"/>
  <c r="I43" i="4"/>
  <c r="D43" i="4"/>
  <c r="C43" i="4"/>
  <c r="B43" i="4"/>
  <c r="H43" i="4" s="1"/>
  <c r="A43" i="4"/>
  <c r="J42" i="4"/>
  <c r="I42" i="4"/>
  <c r="H42" i="4"/>
  <c r="G42" i="4"/>
  <c r="F42" i="4"/>
  <c r="E42" i="4"/>
  <c r="D42" i="4"/>
  <c r="B42" i="4"/>
  <c r="C42" i="4" s="1"/>
  <c r="C41" i="4"/>
  <c r="B41" i="4"/>
  <c r="H41" i="4" s="1"/>
  <c r="J40" i="4"/>
  <c r="I40" i="4"/>
  <c r="D40" i="4"/>
  <c r="C40" i="4"/>
  <c r="B40" i="4"/>
  <c r="H40" i="4" s="1"/>
  <c r="A40" i="4"/>
  <c r="J39" i="4"/>
  <c r="I39" i="4"/>
  <c r="H39" i="4"/>
  <c r="G39" i="4"/>
  <c r="F39" i="4"/>
  <c r="E39" i="4"/>
  <c r="D39" i="4"/>
  <c r="B39" i="4"/>
  <c r="C39" i="4" s="1"/>
  <c r="C38" i="4"/>
  <c r="B38" i="4"/>
  <c r="H38" i="4" s="1"/>
  <c r="J37" i="4"/>
  <c r="I37" i="4"/>
  <c r="D37" i="4"/>
  <c r="C37" i="4"/>
  <c r="B37" i="4"/>
  <c r="H37" i="4" s="1"/>
  <c r="A37" i="4"/>
  <c r="J36" i="4"/>
  <c r="I36" i="4"/>
  <c r="H36" i="4"/>
  <c r="G36" i="4"/>
  <c r="F36" i="4"/>
  <c r="E36" i="4"/>
  <c r="D36" i="4"/>
  <c r="B36" i="4"/>
  <c r="C36" i="4" s="1"/>
  <c r="C35" i="4"/>
  <c r="B35" i="4"/>
  <c r="H35" i="4" s="1"/>
  <c r="J34" i="4"/>
  <c r="I34" i="4"/>
  <c r="D34" i="4"/>
  <c r="C34" i="4"/>
  <c r="B34" i="4"/>
  <c r="H34" i="4" s="1"/>
  <c r="A34" i="4"/>
  <c r="J33" i="4"/>
  <c r="I33" i="4"/>
  <c r="H33" i="4"/>
  <c r="G33" i="4"/>
  <c r="F33" i="4"/>
  <c r="E33" i="4"/>
  <c r="D33" i="4"/>
  <c r="B33" i="4"/>
  <c r="C33" i="4" s="1"/>
  <c r="C32" i="4"/>
  <c r="B32" i="4"/>
  <c r="H32" i="4" s="1"/>
  <c r="J31" i="4"/>
  <c r="I31" i="4"/>
  <c r="D31" i="4"/>
  <c r="C31" i="4"/>
  <c r="B31" i="4"/>
  <c r="H31" i="4" s="1"/>
  <c r="A31" i="4"/>
  <c r="J30" i="4"/>
  <c r="I30" i="4"/>
  <c r="H30" i="4"/>
  <c r="G30" i="4"/>
  <c r="F30" i="4"/>
  <c r="E30" i="4"/>
  <c r="D30" i="4"/>
  <c r="B30" i="4"/>
  <c r="C30" i="4" s="1"/>
  <c r="C29" i="4"/>
  <c r="B29" i="4"/>
  <c r="H29" i="4" s="1"/>
  <c r="J28" i="4"/>
  <c r="I28" i="4"/>
  <c r="D28" i="4"/>
  <c r="C28" i="4"/>
  <c r="B28" i="4"/>
  <c r="H28" i="4" s="1"/>
  <c r="A28" i="4"/>
  <c r="J27" i="4"/>
  <c r="I27" i="4"/>
  <c r="H27" i="4"/>
  <c r="G27" i="4"/>
  <c r="F27" i="4"/>
  <c r="E27" i="4"/>
  <c r="D27" i="4"/>
  <c r="B27" i="4"/>
  <c r="C27" i="4" s="1"/>
  <c r="C26" i="4"/>
  <c r="B26" i="4"/>
  <c r="H26" i="4" s="1"/>
  <c r="J25" i="4"/>
  <c r="I25" i="4"/>
  <c r="D25" i="4"/>
  <c r="C25" i="4"/>
  <c r="B25" i="4"/>
  <c r="H25" i="4" s="1"/>
  <c r="A25" i="4"/>
  <c r="J24" i="4"/>
  <c r="I24" i="4"/>
  <c r="H24" i="4"/>
  <c r="G24" i="4"/>
  <c r="F24" i="4"/>
  <c r="E24" i="4"/>
  <c r="D24" i="4"/>
  <c r="B24" i="4"/>
  <c r="C24" i="4" s="1"/>
  <c r="C23" i="4"/>
  <c r="B23" i="4"/>
  <c r="H23" i="4" s="1"/>
  <c r="J22" i="4"/>
  <c r="I22" i="4"/>
  <c r="D22" i="4"/>
  <c r="C22" i="4"/>
  <c r="B22" i="4"/>
  <c r="H22" i="4" s="1"/>
  <c r="A22" i="4"/>
  <c r="J21" i="4"/>
  <c r="I21" i="4"/>
  <c r="H21" i="4"/>
  <c r="G21" i="4"/>
  <c r="F21" i="4"/>
  <c r="E21" i="4"/>
  <c r="D21" i="4"/>
  <c r="B21" i="4"/>
  <c r="C21" i="4" s="1"/>
  <c r="C20" i="4"/>
  <c r="B20" i="4"/>
  <c r="H20" i="4" s="1"/>
  <c r="J19" i="4"/>
  <c r="I19" i="4"/>
  <c r="D19" i="4"/>
  <c r="C19" i="4"/>
  <c r="B19" i="4"/>
  <c r="H19" i="4" s="1"/>
  <c r="A19" i="4"/>
  <c r="J18" i="4"/>
  <c r="I18" i="4"/>
  <c r="H18" i="4"/>
  <c r="G18" i="4"/>
  <c r="F18" i="4"/>
  <c r="E18" i="4"/>
  <c r="D18" i="4"/>
  <c r="B18" i="4"/>
  <c r="C18" i="4" s="1"/>
  <c r="C17" i="4"/>
  <c r="B17" i="4"/>
  <c r="H17" i="4" s="1"/>
  <c r="J16" i="4"/>
  <c r="I16" i="4"/>
  <c r="D16" i="4"/>
  <c r="C16" i="4"/>
  <c r="B16" i="4"/>
  <c r="H16" i="4" s="1"/>
  <c r="A16" i="4"/>
  <c r="J15" i="4"/>
  <c r="I15" i="4"/>
  <c r="H15" i="4"/>
  <c r="G15" i="4"/>
  <c r="F15" i="4"/>
  <c r="E15" i="4"/>
  <c r="D15" i="4"/>
  <c r="B15" i="4"/>
  <c r="C15" i="4" s="1"/>
  <c r="C14" i="4"/>
  <c r="B14" i="4"/>
  <c r="H14" i="4" s="1"/>
  <c r="J13" i="4"/>
  <c r="I13" i="4"/>
  <c r="D13" i="4"/>
  <c r="C13" i="4"/>
  <c r="B13" i="4"/>
  <c r="H13" i="4" s="1"/>
  <c r="A13" i="4"/>
  <c r="J12" i="4"/>
  <c r="I12" i="4"/>
  <c r="H12" i="4"/>
  <c r="G12" i="4"/>
  <c r="F12" i="4"/>
  <c r="E12" i="4"/>
  <c r="D12" i="4"/>
  <c r="B12" i="4"/>
  <c r="C12" i="4" s="1"/>
  <c r="C11" i="4"/>
  <c r="B11" i="4"/>
  <c r="H11" i="4" s="1"/>
  <c r="J10" i="4"/>
  <c r="I10" i="4"/>
  <c r="D10" i="4"/>
  <c r="C10" i="4"/>
  <c r="B10" i="4"/>
  <c r="H10" i="4" s="1"/>
  <c r="A10" i="4"/>
  <c r="J9" i="4"/>
  <c r="I9" i="4"/>
  <c r="H9" i="4"/>
  <c r="G9" i="4"/>
  <c r="F9" i="4"/>
  <c r="E9" i="4"/>
  <c r="D9" i="4"/>
  <c r="B9" i="4"/>
  <c r="C9" i="4" s="1"/>
  <c r="C8" i="4"/>
  <c r="B8" i="4"/>
  <c r="H8" i="4" s="1"/>
  <c r="J7" i="4"/>
  <c r="I7" i="4"/>
  <c r="D7" i="4"/>
  <c r="C7" i="4"/>
  <c r="B7" i="4"/>
  <c r="H7" i="4" s="1"/>
  <c r="A7" i="4"/>
  <c r="J6" i="4"/>
  <c r="I6" i="4"/>
  <c r="H6" i="4"/>
  <c r="G6" i="4"/>
  <c r="F6" i="4"/>
  <c r="E6" i="4"/>
  <c r="D6" i="4"/>
  <c r="B6" i="4"/>
  <c r="C6" i="4" s="1"/>
  <c r="F7" i="3"/>
  <c r="D7" i="3"/>
  <c r="F6" i="3"/>
  <c r="D6" i="3"/>
  <c r="F5" i="3"/>
  <c r="D5" i="3"/>
  <c r="F4" i="3"/>
  <c r="D4" i="3"/>
  <c r="C21" i="2"/>
  <c r="H20" i="2"/>
  <c r="G20" i="2"/>
  <c r="F20" i="2"/>
  <c r="E20" i="2"/>
  <c r="D20" i="2"/>
  <c r="H19" i="2"/>
  <c r="G19" i="2"/>
  <c r="F19" i="2"/>
  <c r="E19" i="2"/>
  <c r="D19" i="2"/>
  <c r="H18" i="2"/>
  <c r="G18" i="2"/>
  <c r="F18" i="2"/>
  <c r="E18" i="2"/>
  <c r="D18" i="2"/>
  <c r="H17" i="2"/>
  <c r="G17" i="2"/>
  <c r="F17" i="2"/>
  <c r="E17" i="2"/>
  <c r="D17" i="2"/>
  <c r="H16" i="2"/>
  <c r="G16" i="2"/>
  <c r="F16" i="2"/>
  <c r="E16" i="2"/>
  <c r="D16" i="2"/>
  <c r="H15" i="2"/>
  <c r="G15" i="2"/>
  <c r="F15" i="2"/>
  <c r="E15" i="2"/>
  <c r="D15" i="2"/>
  <c r="H14" i="2"/>
  <c r="G14" i="2"/>
  <c r="F14" i="2"/>
  <c r="E14" i="2"/>
  <c r="D14" i="2"/>
  <c r="H13" i="2"/>
  <c r="G13" i="2"/>
  <c r="F13" i="2"/>
  <c r="E13" i="2"/>
  <c r="D13" i="2"/>
  <c r="H12" i="2"/>
  <c r="G12" i="2"/>
  <c r="F12" i="2"/>
  <c r="E12" i="2"/>
  <c r="D12" i="2"/>
  <c r="H11" i="2"/>
  <c r="G11" i="2"/>
  <c r="F11" i="2"/>
  <c r="E11" i="2"/>
  <c r="D11" i="2"/>
  <c r="H10" i="2"/>
  <c r="G10" i="2"/>
  <c r="F10" i="2"/>
  <c r="E10" i="2"/>
  <c r="D10" i="2"/>
  <c r="H9" i="2"/>
  <c r="G9" i="2"/>
  <c r="F9" i="2"/>
  <c r="E9" i="2"/>
  <c r="D9" i="2"/>
  <c r="D8" i="2"/>
  <c r="D7" i="2"/>
  <c r="D6" i="2"/>
  <c r="D21" i="2" s="1"/>
  <c r="M52" i="1"/>
  <c r="H52" i="1"/>
  <c r="J52" i="1" s="1"/>
  <c r="N52" i="1" s="1"/>
  <c r="C52" i="1"/>
  <c r="A52" i="1"/>
  <c r="M51" i="1"/>
  <c r="H51" i="1"/>
  <c r="J51" i="1" s="1"/>
  <c r="N51" i="1" s="1"/>
  <c r="C51" i="1"/>
  <c r="A51" i="1"/>
  <c r="M50" i="1"/>
  <c r="H50" i="1"/>
  <c r="J50" i="1" s="1"/>
  <c r="N50" i="1" s="1"/>
  <c r="C50" i="1"/>
  <c r="A50" i="1"/>
  <c r="M49" i="1"/>
  <c r="J49" i="1"/>
  <c r="H49" i="1"/>
  <c r="C49" i="1"/>
  <c r="A49" i="1"/>
  <c r="M48" i="1"/>
  <c r="H48" i="1"/>
  <c r="J48" i="1" s="1"/>
  <c r="N48" i="1" s="1"/>
  <c r="C48" i="1"/>
  <c r="A48" i="1"/>
  <c r="M47" i="1"/>
  <c r="H47" i="1"/>
  <c r="J47" i="1" s="1"/>
  <c r="N47" i="1" s="1"/>
  <c r="C47" i="1"/>
  <c r="A47" i="1"/>
  <c r="M46" i="1"/>
  <c r="H46" i="1"/>
  <c r="J46" i="1" s="1"/>
  <c r="C46" i="1"/>
  <c r="A46" i="1"/>
  <c r="M45" i="1"/>
  <c r="H45" i="1"/>
  <c r="J45" i="1" s="1"/>
  <c r="N45" i="1" s="1"/>
  <c r="C45" i="1"/>
  <c r="A45" i="1"/>
  <c r="M44" i="1"/>
  <c r="J44" i="1"/>
  <c r="N44" i="1" s="1"/>
  <c r="H44" i="1"/>
  <c r="C44" i="1"/>
  <c r="A44" i="1"/>
  <c r="M43" i="1"/>
  <c r="N43" i="1" s="1"/>
  <c r="J43" i="1"/>
  <c r="H43" i="1"/>
  <c r="C43" i="1"/>
  <c r="A43" i="1"/>
  <c r="M42" i="1"/>
  <c r="H42" i="1"/>
  <c r="J42" i="1" s="1"/>
  <c r="N42" i="1" s="1"/>
  <c r="C42" i="1"/>
  <c r="A42" i="1"/>
  <c r="M41" i="1"/>
  <c r="H41" i="1"/>
  <c r="J41" i="1" s="1"/>
  <c r="N41" i="1" s="1"/>
  <c r="C41" i="1"/>
  <c r="A41" i="1"/>
  <c r="M40" i="1"/>
  <c r="H40" i="1"/>
  <c r="J40" i="1" s="1"/>
  <c r="N40" i="1" s="1"/>
  <c r="C40" i="1"/>
  <c r="A40" i="1"/>
  <c r="M39" i="1"/>
  <c r="H39" i="1"/>
  <c r="J39" i="1" s="1"/>
  <c r="N39" i="1" s="1"/>
  <c r="C39" i="1"/>
  <c r="A39" i="1"/>
  <c r="M38" i="1"/>
  <c r="H38" i="1"/>
  <c r="J38" i="1" s="1"/>
  <c r="N38" i="1" s="1"/>
  <c r="C38" i="1"/>
  <c r="A38" i="1"/>
  <c r="M37" i="1"/>
  <c r="H37" i="1"/>
  <c r="J37" i="1" s="1"/>
  <c r="N37" i="1" s="1"/>
  <c r="C37" i="1"/>
  <c r="A37" i="1"/>
  <c r="M36" i="1"/>
  <c r="H36" i="1"/>
  <c r="J36" i="1" s="1"/>
  <c r="C36" i="1"/>
  <c r="A36" i="1"/>
  <c r="M35" i="1"/>
  <c r="H35" i="1"/>
  <c r="J35" i="1" s="1"/>
  <c r="C35" i="1"/>
  <c r="A35" i="1"/>
  <c r="M34" i="1"/>
  <c r="J34" i="1"/>
  <c r="H34" i="1"/>
  <c r="C34" i="1"/>
  <c r="A34" i="1"/>
  <c r="N33" i="1"/>
  <c r="M33" i="1"/>
  <c r="J33" i="1"/>
  <c r="H33" i="1"/>
  <c r="C33" i="1"/>
  <c r="A33" i="1"/>
  <c r="M32" i="1"/>
  <c r="H32" i="1"/>
  <c r="J32" i="1" s="1"/>
  <c r="C32" i="1"/>
  <c r="A32" i="1"/>
  <c r="M31" i="1"/>
  <c r="H31" i="1"/>
  <c r="J31" i="1" s="1"/>
  <c r="C31" i="1"/>
  <c r="A31" i="1"/>
  <c r="M30" i="1"/>
  <c r="H30" i="1"/>
  <c r="J30" i="1" s="1"/>
  <c r="N30" i="1" s="1"/>
  <c r="C30" i="1"/>
  <c r="A30" i="1"/>
  <c r="M29" i="1"/>
  <c r="H29" i="1"/>
  <c r="J29" i="1" s="1"/>
  <c r="N29" i="1" s="1"/>
  <c r="C29" i="1"/>
  <c r="A29" i="1"/>
  <c r="M28" i="1"/>
  <c r="J28" i="1"/>
  <c r="N28" i="1" s="1"/>
  <c r="H28" i="1"/>
  <c r="C28" i="1"/>
  <c r="A28" i="1"/>
  <c r="M27" i="1"/>
  <c r="H27" i="1"/>
  <c r="J27" i="1" s="1"/>
  <c r="N27" i="1" s="1"/>
  <c r="C27" i="1"/>
  <c r="A27" i="1"/>
  <c r="M26" i="1"/>
  <c r="H26" i="1"/>
  <c r="J26" i="1" s="1"/>
  <c r="N26" i="1" s="1"/>
  <c r="C26" i="1"/>
  <c r="A26" i="1"/>
  <c r="M25" i="1"/>
  <c r="H25" i="1"/>
  <c r="J25" i="1" s="1"/>
  <c r="N25" i="1" s="1"/>
  <c r="C25" i="1"/>
  <c r="A25" i="1"/>
  <c r="M24" i="1"/>
  <c r="H24" i="1"/>
  <c r="J24" i="1" s="1"/>
  <c r="N24" i="1" s="1"/>
  <c r="C24" i="1"/>
  <c r="A24" i="1"/>
  <c r="M23" i="1"/>
  <c r="H23" i="1"/>
  <c r="J23" i="1" s="1"/>
  <c r="N23" i="1" s="1"/>
  <c r="C23" i="1"/>
  <c r="A23" i="1"/>
  <c r="M22" i="1"/>
  <c r="H22" i="1"/>
  <c r="J22" i="1" s="1"/>
  <c r="N22" i="1" s="1"/>
  <c r="C22" i="1"/>
  <c r="A22" i="1"/>
  <c r="M21" i="1"/>
  <c r="H21" i="1"/>
  <c r="J21" i="1" s="1"/>
  <c r="C21" i="1"/>
  <c r="A21" i="1"/>
  <c r="M20" i="1"/>
  <c r="H20" i="1"/>
  <c r="J20" i="1" s="1"/>
  <c r="C20" i="1"/>
  <c r="A20" i="1"/>
  <c r="M19" i="1"/>
  <c r="H19" i="1"/>
  <c r="J19" i="1" s="1"/>
  <c r="N19" i="1" s="1"/>
  <c r="C19" i="1"/>
  <c r="A19" i="1"/>
  <c r="M18" i="1"/>
  <c r="N18" i="1" s="1"/>
  <c r="J18" i="1"/>
  <c r="H18" i="1"/>
  <c r="C18" i="1"/>
  <c r="A18" i="1"/>
  <c r="M17" i="1"/>
  <c r="H17" i="1"/>
  <c r="J17" i="1" s="1"/>
  <c r="C17" i="1"/>
  <c r="A17" i="1"/>
  <c r="M16" i="1"/>
  <c r="H16" i="1"/>
  <c r="J16" i="1" s="1"/>
  <c r="N16" i="1" s="1"/>
  <c r="C16" i="1"/>
  <c r="A16" i="1"/>
  <c r="M15" i="1"/>
  <c r="H15" i="1"/>
  <c r="J15" i="1" s="1"/>
  <c r="N15" i="1" s="1"/>
  <c r="C15" i="1"/>
  <c r="A15" i="1"/>
  <c r="M14" i="1"/>
  <c r="H14" i="1"/>
  <c r="J14" i="1" s="1"/>
  <c r="N14" i="1" s="1"/>
  <c r="C14" i="1"/>
  <c r="E6" i="1" s="1"/>
  <c r="A14" i="1"/>
  <c r="M13" i="1"/>
  <c r="H13" i="1"/>
  <c r="J13" i="1" s="1"/>
  <c r="C13" i="1"/>
  <c r="A13" i="1"/>
  <c r="G8" i="1"/>
  <c r="D7" i="1"/>
  <c r="B7" i="1"/>
  <c r="O5" i="1"/>
  <c r="N5" i="1"/>
  <c r="M5" i="1"/>
  <c r="N36" i="1" l="1"/>
  <c r="N53" i="1"/>
  <c r="N46" i="1"/>
  <c r="N49" i="1"/>
  <c r="N17" i="1"/>
  <c r="N8" i="1" s="1"/>
  <c r="N20" i="1"/>
  <c r="N21" i="1"/>
  <c r="N31" i="1"/>
  <c r="N34" i="1"/>
  <c r="N32" i="1"/>
  <c r="N35" i="1"/>
  <c r="E6" i="2"/>
  <c r="D5" i="5" s="1"/>
  <c r="N13" i="1"/>
  <c r="E8" i="2"/>
  <c r="D7" i="5" s="1"/>
  <c r="E7" i="2"/>
  <c r="D6" i="5" s="1"/>
  <c r="G6" i="1"/>
  <c r="F8" i="2"/>
  <c r="F6" i="2"/>
  <c r="M6" i="1" s="1"/>
  <c r="O6" i="1"/>
  <c r="I6" i="1"/>
  <c r="A8" i="4"/>
  <c r="A11" i="4"/>
  <c r="A14" i="4"/>
  <c r="A17" i="4"/>
  <c r="A20" i="4"/>
  <c r="A23" i="4"/>
  <c r="A26" i="4"/>
  <c r="A29" i="4"/>
  <c r="A32" i="4"/>
  <c r="A35" i="4"/>
  <c r="A38" i="4"/>
  <c r="A41" i="4"/>
  <c r="A44" i="4"/>
  <c r="C6" i="5"/>
  <c r="C11" i="5"/>
  <c r="C16" i="5"/>
  <c r="C7" i="1"/>
  <c r="D11" i="5"/>
  <c r="D16" i="5"/>
  <c r="A6" i="1"/>
  <c r="E7" i="1"/>
  <c r="D8" i="4"/>
  <c r="D11" i="4"/>
  <c r="D14" i="4"/>
  <c r="D17" i="4"/>
  <c r="D20" i="4"/>
  <c r="D23" i="4"/>
  <c r="D26" i="4"/>
  <c r="D29" i="4"/>
  <c r="D32" i="4"/>
  <c r="D35" i="4"/>
  <c r="D38" i="4"/>
  <c r="D41" i="4"/>
  <c r="D44" i="4"/>
  <c r="C9" i="5"/>
  <c r="F11" i="5"/>
  <c r="C14" i="5"/>
  <c r="F16" i="5"/>
  <c r="C19" i="5"/>
  <c r="E8" i="4"/>
  <c r="E11" i="4"/>
  <c r="E14" i="4"/>
  <c r="E17" i="4"/>
  <c r="E20" i="4"/>
  <c r="E23" i="4"/>
  <c r="E26" i="4"/>
  <c r="E29" i="4"/>
  <c r="E32" i="4"/>
  <c r="E35" i="4"/>
  <c r="E38" i="4"/>
  <c r="E41" i="4"/>
  <c r="E44" i="4"/>
  <c r="D9" i="5"/>
  <c r="D14" i="5"/>
  <c r="D19" i="5"/>
  <c r="B6" i="1"/>
  <c r="C6" i="1"/>
  <c r="F8" i="4"/>
  <c r="F11" i="4"/>
  <c r="F14" i="4"/>
  <c r="F17" i="4"/>
  <c r="F20" i="4"/>
  <c r="F23" i="4"/>
  <c r="F26" i="4"/>
  <c r="F29" i="4"/>
  <c r="F32" i="4"/>
  <c r="F35" i="4"/>
  <c r="F38" i="4"/>
  <c r="F41" i="4"/>
  <c r="F44" i="4"/>
  <c r="E9" i="5"/>
  <c r="E14" i="5"/>
  <c r="E19" i="5"/>
  <c r="D6" i="1"/>
  <c r="G8" i="4"/>
  <c r="G11" i="4"/>
  <c r="G14" i="4"/>
  <c r="G17" i="4"/>
  <c r="G20" i="4"/>
  <c r="G23" i="4"/>
  <c r="G26" i="4"/>
  <c r="G29" i="4"/>
  <c r="G32" i="4"/>
  <c r="G35" i="4"/>
  <c r="G38" i="4"/>
  <c r="G41" i="4"/>
  <c r="G44" i="4"/>
  <c r="C7" i="5"/>
  <c r="C12" i="5"/>
  <c r="F14" i="5"/>
  <c r="C17" i="5"/>
  <c r="F19" i="5"/>
  <c r="H53" i="1"/>
  <c r="E12" i="5"/>
  <c r="I17" i="4"/>
  <c r="E7" i="4"/>
  <c r="J8" i="4"/>
  <c r="E10" i="4"/>
  <c r="J11" i="4"/>
  <c r="E13" i="4"/>
  <c r="J14" i="4"/>
  <c r="E16" i="4"/>
  <c r="J17" i="4"/>
  <c r="E19" i="4"/>
  <c r="J20" i="4"/>
  <c r="E22" i="4"/>
  <c r="J23" i="4"/>
  <c r="E25" i="4"/>
  <c r="J26" i="4"/>
  <c r="E28" i="4"/>
  <c r="J29" i="4"/>
  <c r="E31" i="4"/>
  <c r="J32" i="4"/>
  <c r="E34" i="4"/>
  <c r="J35" i="4"/>
  <c r="E37" i="4"/>
  <c r="J38" i="4"/>
  <c r="E40" i="4"/>
  <c r="J41" i="4"/>
  <c r="E43" i="4"/>
  <c r="J44" i="4"/>
  <c r="C5" i="5"/>
  <c r="C10" i="5"/>
  <c r="F12" i="5"/>
  <c r="C15" i="5"/>
  <c r="F17" i="5"/>
  <c r="H6" i="1"/>
  <c r="J53" i="1"/>
  <c r="A6" i="4"/>
  <c r="F7" i="4"/>
  <c r="A9" i="4"/>
  <c r="F10" i="4"/>
  <c r="A12" i="4"/>
  <c r="F13" i="4"/>
  <c r="A15" i="4"/>
  <c r="F16" i="4"/>
  <c r="A18" i="4"/>
  <c r="F19" i="4"/>
  <c r="A21" i="4"/>
  <c r="F22" i="4"/>
  <c r="A24" i="4"/>
  <c r="F25" i="4"/>
  <c r="A27" i="4"/>
  <c r="F28" i="4"/>
  <c r="A30" i="4"/>
  <c r="F31" i="4"/>
  <c r="A33" i="4"/>
  <c r="F34" i="4"/>
  <c r="A36" i="4"/>
  <c r="F37" i="4"/>
  <c r="A39" i="4"/>
  <c r="F40" i="4"/>
  <c r="A42" i="4"/>
  <c r="F43" i="4"/>
  <c r="A45" i="4"/>
  <c r="D10" i="5"/>
  <c r="D15" i="5"/>
  <c r="I8" i="4"/>
  <c r="I11" i="4"/>
  <c r="I14" i="4"/>
  <c r="I20" i="4"/>
  <c r="I23" i="4"/>
  <c r="I26" i="4"/>
  <c r="I29" i="4"/>
  <c r="I32" i="4"/>
  <c r="I35" i="4"/>
  <c r="I38" i="4"/>
  <c r="I41" i="4"/>
  <c r="I44" i="4"/>
  <c r="G7" i="4"/>
  <c r="G10" i="4"/>
  <c r="G13" i="4"/>
  <c r="G16" i="4"/>
  <c r="G19" i="4"/>
  <c r="G22" i="4"/>
  <c r="G25" i="4"/>
  <c r="G28" i="4"/>
  <c r="G31" i="4"/>
  <c r="G34" i="4"/>
  <c r="G37" i="4"/>
  <c r="G40" i="4"/>
  <c r="G43" i="4"/>
  <c r="E10" i="5"/>
  <c r="E15" i="5"/>
  <c r="I46" i="4" l="1"/>
  <c r="G46" i="4"/>
  <c r="F7" i="2"/>
  <c r="L8" i="1"/>
  <c r="G7" i="2"/>
  <c r="F6" i="5" s="1"/>
  <c r="G8" i="2"/>
  <c r="F7" i="5" s="1"/>
  <c r="G6" i="2"/>
  <c r="H6" i="2" s="1"/>
  <c r="G5" i="5" s="1"/>
  <c r="L6" i="1"/>
  <c r="N6" i="1"/>
  <c r="A8" i="1"/>
  <c r="F21" i="2"/>
  <c r="E21" i="2"/>
  <c r="E5" i="5"/>
  <c r="E7" i="5"/>
  <c r="C20" i="5"/>
  <c r="H46" i="4"/>
  <c r="D20" i="5"/>
  <c r="H8" i="2" l="1"/>
  <c r="G7" i="5" s="1"/>
  <c r="G21" i="2"/>
  <c r="F5" i="5"/>
  <c r="F20" i="5" s="1"/>
  <c r="H7" i="2"/>
  <c r="G6" i="5" s="1"/>
  <c r="G20" i="5" s="1"/>
  <c r="E6" i="5"/>
  <c r="E20" i="5" s="1"/>
  <c r="H21" i="2" l="1"/>
</calcChain>
</file>

<file path=xl/sharedStrings.xml><?xml version="1.0" encoding="utf-8"?>
<sst xmlns="http://schemas.openxmlformats.org/spreadsheetml/2006/main" count="136" uniqueCount="116">
  <si>
    <t>EASY
CRM</t>
  </si>
  <si>
    <t>SALES RECORD &amp; COMMISSION SYSTEM 2026</t>
  </si>
  <si>
    <t>ปีงบประมาณ 2026</t>
  </si>
  <si>
    <t>ระบบบันทึกการขายและคำนวณค่าคอมมิชชั่น · EasyCRM (บริษัท อีซี่สลิป จำกัด)</t>
  </si>
  <si>
    <t>อัปเดตอัตโนมัติจากตารางด้านล่าง</t>
  </si>
  <si>
    <t>รายได้ &amp; ค่าคอม รายไตรมาส (THB)</t>
  </si>
  <si>
    <t>สรุปรายได้ (THB)</t>
  </si>
  <si>
    <t>สรุปค่าคอมรายคน (THB)</t>
  </si>
  <si>
    <t>ทั้งปี</t>
  </si>
  <si>
    <t>Q1</t>
  </si>
  <si>
    <t>Q2</t>
  </si>
  <si>
    <t>Q3</t>
  </si>
  <si>
    <t>Q4</t>
  </si>
  <si>
    <t>ยอดเต็ม</t>
  </si>
  <si>
    <t>ส่วนลด</t>
  </si>
  <si>
    <t>สุทธิ</t>
  </si>
  <si>
    <t>รวม</t>
  </si>
  <si>
    <t>ค่าคอม รวมทั้งปี</t>
  </si>
  <si>
    <t>จำนวนดีลทั้งหมด</t>
  </si>
  <si>
    <t>จ่ายแล้ว</t>
  </si>
  <si>
    <t>ค้างจ่าย</t>
  </si>
  <si>
    <t>บันทึก</t>
  </si>
  <si>
    <t>ลูกค้า</t>
  </si>
  <si>
    <t>ธุรกรรม</t>
  </si>
  <si>
    <t>บริการ</t>
  </si>
  <si>
    <t>รายได้ (THB)</t>
  </si>
  <si>
    <t>ค่าคอมมิชชั่น</t>
  </si>
  <si>
    <t>สถานะ</t>
  </si>
  <si>
    <t>No</t>
  </si>
  <si>
    <t>วันที่</t>
  </si>
  <si>
    <t>ไตรมาส</t>
  </si>
  <si>
    <t>ชื่อลูกค้า</t>
  </si>
  <si>
    <t>ประเภท</t>
  </si>
  <si>
    <t>การชำระเงิน</t>
  </si>
  <si>
    <t>แพ็กเกจ</t>
  </si>
  <si>
    <t>ราคาเต็ม</t>
  </si>
  <si>
    <t>ส่วนลด %</t>
  </si>
  <si>
    <t>รายได้สุทธิ</t>
  </si>
  <si>
    <t>จ่ายแบบ</t>
  </si>
  <si>
    <t>Sales</t>
  </si>
  <si>
    <t>Rate %</t>
  </si>
  <si>
    <t>ค่าคอม (THB)</t>
  </si>
  <si>
    <t>สถานะจ่าย</t>
  </si>
  <si>
    <t>หมายเหตุ / วิธีใช้ — แท็บนี้ใช้บันทึกดีลขายจริง</t>
  </si>
  <si>
    <t>• กรอกช่อง: วันที่ · ชื่อลูกค้า · ประเภท (ใหม่/ต่ออายุ) · การชำระเงิน · แพ็กเกจ · ส่วนลด% · จ่ายแบบ · Sales · สถานะจ่าย</t>
  </si>
  <si>
    <t>• ช่องที่เหลือคำนวณอัตโนมัติ: No · ไตรมาส · ราคาเต็ม · รายได้สุทธิ · Rate% · ค่าคอม</t>
  </si>
  <si>
    <t>• จ่ายแบบ 'รายคน' → ใส่ชื่อในช่อง Sales (คนนั้นจะได้รับค่าคอมเต็มตามเรตแพ็กเกจ)</t>
  </si>
  <si>
    <t>• จ่ายแบบ 'ทีม' → เว้นช่อง Sales ว่าง (ค่าคอมจะถูกแบ่งตาม %แบ่งทีม รวม 100%)</t>
  </si>
  <si>
    <t>• Enterprise: พิมพ์ราคาจริงทับช่อง 'ราคาเต็ม' ได้เลย</t>
  </si>
  <si>
    <t>• ช่องที่คำนวณถูกล็อกเพื่อป้องกันการแก้ไขผิดพลาด · ราคาเต็ม (Enterprise) สามารถพิมพ์ทับได้ · ปลดล็อก: Review ▸ Unprotect Sheet (ไม่มีรหัส)</t>
  </si>
  <si>
    <t>TEAM &amp; COMMISSION SPLIT</t>
  </si>
  <si>
    <t>ทีมขาย · ตั้งรายชื่อ + % แบ่งทีม (ใช้เฉพาะดีลแบบทีม)</t>
  </si>
  <si>
    <t>เพิ่ม/แก้รายชื่อได้เลย · 'รายคน' จะได้รับค่าคอมเต็มตามเรตแพ็กเกจ (แท็บ Rate) · 'ทีม' จะหารค่าคอมตาม % แบ่งทีม (ควรรวม = 100%) · เลือกจ่ายแบบไหนต่อดีลในแท็บ Sales_Record</t>
  </si>
  <si>
    <t>ชื่อ Sales</t>
  </si>
  <si>
    <t>ตำแหน่ง</t>
  </si>
  <si>
    <t>% แบ่งทีม
(รวม=100%)</t>
  </si>
  <si>
    <t>ดีลปิดเอง</t>
  </si>
  <si>
    <t>ค่าคอมรวม (THB)</t>
  </si>
  <si>
    <t>จ่ายแล้ว (THB)</t>
  </si>
  <si>
    <t>ค้างจ่าย (THB)</t>
  </si>
  <si>
    <t>MIZTEEN</t>
  </si>
  <si>
    <t>Sales Executive</t>
  </si>
  <si>
    <t>OLIVE</t>
  </si>
  <si>
    <t>SUPPORT</t>
  </si>
  <si>
    <t>Support / Sales</t>
  </si>
  <si>
    <t>รวมทั้งทีม</t>
  </si>
  <si>
    <t>หมายเหตุ / วิธีใช้</t>
  </si>
  <si>
    <t>• กรอก 3 ช่อง: ชื่อ Sales · ตำแหน่ง · %แบ่งทีม (รวมทั้งหมด = 100%)</t>
  </si>
  <si>
    <t>• ดีลที่ปิดเอง · รายได้ · ค่าคอมรวม · จ่ายแล้ว · ค้างจ่าย → คำนวณจากแท็บ Sales_Record</t>
  </si>
  <si>
    <t>• %แบ่งทีม ใช้เฉพาะดีลที่เลือกจ่าย 'ทีม' · ไม่ใช้กับดีลรายคน</t>
  </si>
  <si>
    <t>• ชื่อในนี้คือตัวเลือกดรอปดาวน์ Sales ในแท็บ Sales_Record</t>
  </si>
  <si>
    <t>• ช่องที่คำนวณถูกล็อก · กรอกได้เฉพาะ ชื่อ/ตำแหน่ง/%แบ่งทีม · ปลดล็อก: Review ▸ Unprotect Sheet</t>
  </si>
  <si>
    <t>EASYCRM — อัตราค่าคอมมิชชั่นตามแพ็กเกจ</t>
  </si>
  <si>
    <t>ราคาก่อน VAT 7% · ต่ออายุ = ครึ่งของอัตราใหม่ · แก้ตัวเลขที่นี่ที่เดียว ตาราง Sales_Record จะดึงไปคำนวณอัตโนมัติ</t>
  </si>
  <si>
    <t>ราคาต่อปี (บาท)</t>
  </si>
  <si>
    <t>% ค่าคอม (ใหม่)</t>
  </si>
  <si>
    <t>ค่าคอม/ดีล ใหม่</t>
  </si>
  <si>
    <t>% ต่ออายุ</t>
  </si>
  <si>
    <t>ค่าคอม/ดีล ต่ออายุ</t>
  </si>
  <si>
    <t>Starter</t>
  </si>
  <si>
    <t>Plus</t>
  </si>
  <si>
    <t>Premium</t>
  </si>
  <si>
    <t>Enterprise</t>
  </si>
  <si>
    <t>หมายเหตุ</t>
  </si>
  <si>
    <t>• Enterprise: ราคาตามสัญญา → กรอกราคาในคอลัมน์ 'ราคาเต็ม' ของแท็บ Sales_Record โดยตรง</t>
  </si>
  <si>
    <t>• ค่าคอมจ่ายเมื่อลูกค้าชำระครบ + ส่งมอบระบบ (Phase 5)</t>
  </si>
  <si>
    <t>• ลูกค้ายกเลิก/refund ภายใน 30 วัน → หักค่าคอมคืน</t>
  </si>
  <si>
    <t>วิธีใช้</t>
  </si>
  <si>
    <t>• แก้ % ค่าคอมที่นี่ที่เดียว · แท็บ Sales_Record จะดึงไปคำนวณอัตโนมัติ</t>
  </si>
  <si>
    <t>• ดีลใหม่ใช้ '% ค่าคอม (ใหม่)' · ต่ออายุใช้ '% ต่ออายุ'</t>
  </si>
  <si>
    <t>• ช่องที่คำนวณ (ค่าคอม/ดีล) ถูกล็อก · แก้ได้เฉพาะราคา/% · ปลดล็อก: Review ▸ Unprotect Sheet</t>
  </si>
  <si>
    <t>REVENUE LEDGER 2026</t>
  </si>
  <si>
    <t>สรุปรายได้รายรายการ · EasyCRM (บริษัท อีซี่สลิป จำกัด)</t>
  </si>
  <si>
    <t>ดึงข้อมูลอัตโนมัติจากแท็บ Sales_Record · กรอกดีลในแท็บนั้น รายการตรงนี้จะขึ้นเอง และรวมยอดท้ายตาราง</t>
  </si>
  <si>
    <t>ราคาเต็ม (THB)</t>
  </si>
  <si>
    <t>รายได้สุทธิ (THB)</t>
  </si>
  <si>
    <t>รวมรายได้ทั้งหมด</t>
  </si>
  <si>
    <t>• ดึงข้อมูลทุกดีลจากแท็บ Sales_Record อัตโนมัติ — ไม่ต้องกรอกที่นี่</t>
  </si>
  <si>
    <t>• รายได้สุทธิ = ราคาเต็ม × (1 − ส่วนลด%)</t>
  </si>
  <si>
    <t>• แถวล่างสุด = รวมราคาเต็ม · จำนวนดีล · รวมรายได้สุทธิ</t>
  </si>
  <si>
    <t>• ทั้งแผ่นเป็นช่องคำนวณ ล็อกไว้ทั้งหมด (ไม่ต้องกรอก) · ปลดล็อก: Review ▸ Unprotect Sheet</t>
  </si>
  <si>
    <t>EASYCRM — รายงานค่าคอมมิชชั่น 2026</t>
  </si>
  <si>
    <t>สรุปรายคน · คำนวณอัตโนมัติจากแท็บ Sales_Record</t>
  </si>
  <si>
    <t>พนักงานขาย</t>
  </si>
  <si>
    <t>จำนวนดีล</t>
  </si>
  <si>
    <t>รายได้ (บาท)</t>
  </si>
  <si>
    <t>ค่าคอม (บาท)</t>
  </si>
  <si>
    <t>จ่ายแล้ว (บาท)</t>
  </si>
  <si>
    <t>ค้างจ่าย (บาท)</t>
  </si>
  <si>
    <t>• สรุปค่าคอมรายคน คำนวณจาก Sales_Record + ทีมขาย — ไม่ต้องกรอก</t>
  </si>
  <si>
    <t>• ค่าคอม = งานที่ปิดเอง (รายคน) + ส่วนแบ่งจากดีลทีม</t>
  </si>
  <si>
    <t>• เพิ่มคนในแท็บทีมขาย รายงานนี้จะแสดงตามเอง</t>
  </si>
  <si>
    <t>• ทั้งแผ่นคำนวณอัตโนมัติ ล็อกไว้ทั้งหมด · ปลดล็อก: Review ▸ Unprotect Sheet</t>
  </si>
  <si>
    <t>วากิว</t>
  </si>
  <si>
    <t>ทีม</t>
  </si>
  <si>
    <t>ใหม่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</si>
</sst>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%"/>
    <numFmt numFmtId="166" formatCode="#,##0.00\ &quot;฿&quot;"/>
  </numFmts>
  <fonts count="26" x14ac:knownFonts="1">
    <font>
      <sz val="11"/>
      <color theme="1"/>
      <name val="Calibri"/>
      <family val="2"/>
      <scheme val="minor"/>
    </font>
    <font>
      <b/>
      <sz val="15"/>
      <color rgb="FFFFFFFF"/>
      <name val="Arial"/>
      <family val="2"/>
    </font>
    <font>
      <b/>
      <sz val="18"/>
      <color rgb="FF1A2433"/>
      <name val="Arial"/>
      <family val="2"/>
    </font>
    <font>
      <i/>
      <sz val="10"/>
      <color rgb="FF6A7682"/>
      <name val="Arial"/>
      <family val="2"/>
    </font>
    <font>
      <b/>
      <sz val="10"/>
      <color rgb="FF6A7682"/>
      <name val="Arial"/>
      <family val="2"/>
    </font>
    <font>
      <i/>
      <sz val="9"/>
      <color rgb="FF9AA7B2"/>
      <name val="Arial"/>
      <family val="2"/>
    </font>
    <font>
      <b/>
      <sz val="10"/>
      <color rgb="FFFFFFFF"/>
      <name val="Arial"/>
      <family val="2"/>
    </font>
    <font>
      <b/>
      <sz val="9"/>
      <color rgb="FF4A5562"/>
      <name val="Arial"/>
      <family val="2"/>
    </font>
    <font>
      <b/>
      <sz val="11"/>
      <color rgb="FF1F2A36"/>
      <name val="Arial"/>
      <family val="2"/>
    </font>
    <font>
      <b/>
      <sz val="8"/>
      <color rgb="FF4A5562"/>
      <name val="Arial"/>
      <family val="2"/>
    </font>
    <font>
      <b/>
      <sz val="9"/>
      <color rgb="FF2A3642"/>
      <name val="Arial"/>
      <family val="2"/>
    </font>
    <font>
      <sz val="9"/>
      <color rgb="FF2A3642"/>
      <name val="Arial"/>
      <family val="2"/>
    </font>
    <font>
      <b/>
      <sz val="14"/>
      <color rgb="FF1A2433"/>
      <name val="Arial"/>
      <family val="2"/>
    </font>
    <font>
      <i/>
      <sz val="9"/>
      <color rgb="FF6A7682"/>
      <name val="Arial"/>
      <family val="2"/>
    </font>
    <font>
      <b/>
      <sz val="10"/>
      <color rgb="FF1F2A36"/>
      <name val="Arial"/>
      <family val="2"/>
    </font>
    <font>
      <sz val="10"/>
      <color rgb="FF2A3642"/>
      <name val="Arial"/>
      <family val="2"/>
    </font>
    <font>
      <b/>
      <sz val="11"/>
      <color rgb="FF1A2433"/>
      <name val="Arial"/>
      <family val="2"/>
    </font>
    <font>
      <sz val="10"/>
      <color rgb="FF3A4652"/>
      <name val="Arial"/>
      <family val="2"/>
    </font>
    <font>
      <b/>
      <sz val="16"/>
      <color rgb="FF1A2433"/>
      <name val="Arial"/>
      <family val="2"/>
    </font>
    <font>
      <sz val="9"/>
      <color rgb="FF6A7682"/>
      <name val="Arial"/>
      <family val="2"/>
    </font>
    <font>
      <b/>
      <sz val="9"/>
      <color rgb="FFFFFFFF"/>
      <name val="Arial"/>
      <family val="2"/>
    </font>
    <font>
      <b/>
      <sz val="9"/>
      <color rgb="FF1F2A36"/>
      <name val="Arial"/>
      <family val="2"/>
    </font>
    <font>
      <b/>
      <sz val="9"/>
      <color rgb="FF1A2433"/>
      <name val="Arial"/>
      <family val="2"/>
    </font>
    <font>
      <sz val="9"/>
      <color rgb="FF5A6673"/>
      <name val="Arial"/>
      <family val="2"/>
    </font>
    <font>
      <b/>
      <sz val="9"/>
      <color rgb="FF5A6673"/>
      <name val="Arial"/>
      <family val="2"/>
    </font>
    <font>
      <b/>
      <sz val="10"/>
      <color rgb="FF2A3642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4F6F8"/>
      </patternFill>
    </fill>
    <fill>
      <patternFill patternType="solid">
        <fgColor rgb="FFFFFFFF"/>
      </patternFill>
    </fill>
    <fill>
      <patternFill patternType="solid">
        <fgColor rgb="FFFAFBFC"/>
      </patternFill>
    </fill>
    <fill>
      <patternFill patternType="solid">
        <fgColor rgb="FF404040"/>
      </patternFill>
    </fill>
    <fill>
      <patternFill patternType="solid">
        <fgColor rgb="FF666666"/>
      </patternFill>
    </fill>
    <fill>
      <patternFill patternType="solid">
        <fgColor rgb="FFEDEDED"/>
      </patternFill>
    </fill>
    <fill>
      <patternFill patternType="solid">
        <fgColor rgb="FFF4F4F4"/>
      </patternFill>
    </fill>
  </fills>
  <borders count="12">
    <border>
      <left/>
      <right/>
      <top/>
      <bottom/>
      <diagonal/>
    </border>
    <border>
      <left style="thin">
        <color rgb="FFC4CDD5"/>
      </left>
      <right style="thin">
        <color rgb="FFC4CDD5"/>
      </right>
      <top style="thin">
        <color rgb="FFC4CDD5"/>
      </top>
      <bottom style="thin">
        <color rgb="FFC4CDD5"/>
      </bottom>
      <diagonal/>
    </border>
    <border>
      <left/>
      <right style="thin">
        <color rgb="FFC4CDD5"/>
      </right>
      <top style="thin">
        <color rgb="FFC4CDD5"/>
      </top>
      <bottom style="thin">
        <color rgb="FFC4CDD5"/>
      </bottom>
      <diagonal/>
    </border>
    <border>
      <left style="medium">
        <color rgb="FF9AA7B2"/>
      </left>
      <right style="medium">
        <color rgb="FF9AA7B2"/>
      </right>
      <top style="medium">
        <color rgb="FF9AA7B2"/>
      </top>
      <bottom style="thin">
        <color rgb="FFC4CDD5"/>
      </bottom>
      <diagonal/>
    </border>
    <border>
      <left style="thin">
        <color rgb="FFC4CDD5"/>
      </left>
      <right style="thin">
        <color rgb="FFC4CDD5"/>
      </right>
      <top style="medium">
        <color rgb="FF9AA7B2"/>
      </top>
      <bottom style="medium">
        <color rgb="FF9AA7B2"/>
      </bottom>
      <diagonal/>
    </border>
    <border>
      <left/>
      <right/>
      <top style="medium">
        <color rgb="FF9AA7B2"/>
      </top>
      <bottom/>
      <diagonal/>
    </border>
    <border>
      <left/>
      <right/>
      <top style="medium">
        <color rgb="FF9AA7B2"/>
      </top>
      <bottom style="thin">
        <color rgb="FFC4CDD5"/>
      </bottom>
      <diagonal/>
    </border>
    <border>
      <left/>
      <right style="medium">
        <color rgb="FF9AA7B2"/>
      </right>
      <top style="medium">
        <color rgb="FF9AA7B2"/>
      </top>
      <bottom style="thin">
        <color rgb="FFC4CDD5"/>
      </bottom>
      <diagonal/>
    </border>
    <border>
      <left/>
      <right/>
      <top style="thin">
        <color rgb="FFC4CDD5"/>
      </top>
      <bottom style="thin">
        <color rgb="FFC4CDD5"/>
      </bottom>
      <diagonal/>
    </border>
    <border>
      <left/>
      <right/>
      <top style="medium">
        <color rgb="FF9AA7B2"/>
      </top>
      <bottom style="medium">
        <color rgb="FF9AA7B2"/>
      </bottom>
      <diagonal/>
    </border>
    <border>
      <left/>
      <right style="thin">
        <color rgb="FFC4CDD5"/>
      </right>
      <top style="medium">
        <color rgb="FF9AA7B2"/>
      </top>
      <bottom style="medium">
        <color rgb="FF9AA7B2"/>
      </bottom>
      <diagonal/>
    </border>
    <border>
      <left/>
      <right/>
      <top style="medium">
        <color rgb="FF9AA7B2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3" fontId="8" fillId="2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/>
    </xf>
    <xf numFmtId="165" fontId="11" fillId="3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165" fontId="11" fillId="4" borderId="1" xfId="0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/>
    </xf>
    <xf numFmtId="166" fontId="15" fillId="3" borderId="1" xfId="0" applyNumberFormat="1" applyFont="1" applyFill="1" applyBorder="1" applyAlignment="1">
      <alignment horizontal="right" vertical="center"/>
    </xf>
    <xf numFmtId="0" fontId="14" fillId="4" borderId="1" xfId="0" applyFont="1" applyFill="1" applyBorder="1" applyAlignment="1">
      <alignment horizontal="left" vertical="center"/>
    </xf>
    <xf numFmtId="166" fontId="15" fillId="4" borderId="1" xfId="0" applyNumberFormat="1" applyFont="1" applyFill="1" applyBorder="1" applyAlignment="1">
      <alignment horizontal="right" vertical="center"/>
    </xf>
    <xf numFmtId="0" fontId="16" fillId="0" borderId="0" xfId="0" applyFont="1"/>
    <xf numFmtId="0" fontId="8" fillId="3" borderId="1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center" vertical="center"/>
    </xf>
    <xf numFmtId="3" fontId="11" fillId="3" borderId="1" xfId="0" applyNumberFormat="1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 applyProtection="1">
      <alignment horizontal="center" vertical="center"/>
      <protection locked="0"/>
    </xf>
    <xf numFmtId="0" fontId="11" fillId="3" borderId="1" xfId="0" applyFont="1" applyFill="1" applyBorder="1" applyAlignment="1" applyProtection="1">
      <alignment horizontal="left" vertical="center"/>
      <protection locked="0"/>
    </xf>
    <xf numFmtId="0" fontId="11" fillId="3" borderId="1" xfId="0" applyFont="1" applyFill="1" applyBorder="1" applyAlignment="1" applyProtection="1">
      <alignment horizontal="center" vertical="center"/>
      <protection locked="0"/>
    </xf>
    <xf numFmtId="165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4" borderId="1" xfId="0" applyNumberFormat="1" applyFont="1" applyFill="1" applyBorder="1" applyAlignment="1" applyProtection="1">
      <alignment horizontal="center" vertical="center"/>
      <protection locked="0"/>
    </xf>
    <xf numFmtId="0" fontId="11" fillId="4" borderId="1" xfId="0" applyFont="1" applyFill="1" applyBorder="1" applyAlignment="1" applyProtection="1">
      <alignment horizontal="left" vertical="center"/>
      <protection locked="0"/>
    </xf>
    <xf numFmtId="0" fontId="11" fillId="4" borderId="1" xfId="0" applyFont="1" applyFill="1" applyBorder="1" applyAlignment="1" applyProtection="1">
      <alignment horizontal="center" vertical="center"/>
      <protection locked="0"/>
    </xf>
    <xf numFmtId="165" fontId="11" fillId="4" borderId="1" xfId="0" applyNumberFormat="1" applyFont="1" applyFill="1" applyBorder="1" applyAlignment="1" applyProtection="1">
      <alignment horizontal="center" vertical="center"/>
      <protection locked="0"/>
    </xf>
    <xf numFmtId="0" fontId="14" fillId="3" borderId="1" xfId="0" applyFont="1" applyFill="1" applyBorder="1" applyAlignment="1" applyProtection="1">
      <alignment horizontal="left" vertical="center"/>
      <protection locked="0"/>
    </xf>
    <xf numFmtId="0" fontId="15" fillId="3" borderId="1" xfId="0" applyFont="1" applyFill="1" applyBorder="1" applyAlignment="1" applyProtection="1">
      <alignment horizontal="left" vertical="center"/>
      <protection locked="0"/>
    </xf>
    <xf numFmtId="166" fontId="15" fillId="3" borderId="1" xfId="0" applyNumberFormat="1" applyFont="1" applyFill="1" applyBorder="1" applyAlignment="1" applyProtection="1">
      <alignment horizontal="right" vertical="center"/>
      <protection locked="0"/>
    </xf>
    <xf numFmtId="165" fontId="15" fillId="3" borderId="1" xfId="0" applyNumberFormat="1" applyFont="1" applyFill="1" applyBorder="1" applyAlignment="1" applyProtection="1">
      <alignment horizontal="center" vertical="center"/>
      <protection locked="0"/>
    </xf>
    <xf numFmtId="166" fontId="15" fillId="4" borderId="1" xfId="0" applyNumberFormat="1" applyFont="1" applyFill="1" applyBorder="1" applyAlignment="1" applyProtection="1">
      <alignment horizontal="right" vertical="center"/>
      <protection locked="0"/>
    </xf>
    <xf numFmtId="165" fontId="15" fillId="4" borderId="1" xfId="0" applyNumberFormat="1" applyFont="1" applyFill="1" applyBorder="1" applyAlignment="1" applyProtection="1">
      <alignment horizontal="center" vertical="center"/>
      <protection locked="0"/>
    </xf>
    <xf numFmtId="166" fontId="5" fillId="4" borderId="1" xfId="0" applyNumberFormat="1" applyFont="1" applyFill="1" applyBorder="1" applyAlignment="1" applyProtection="1">
      <alignment horizontal="right" vertical="center"/>
      <protection locked="0"/>
    </xf>
    <xf numFmtId="0" fontId="7" fillId="7" borderId="1" xfId="0" applyFont="1" applyFill="1" applyBorder="1" applyAlignment="1">
      <alignment horizontal="center" vertical="center" wrapText="1"/>
    </xf>
    <xf numFmtId="3" fontId="8" fillId="7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166" fontId="11" fillId="3" borderId="1" xfId="0" applyNumberFormat="1" applyFont="1" applyFill="1" applyBorder="1" applyAlignment="1" applyProtection="1">
      <alignment horizontal="right" vertical="center"/>
      <protection locked="0"/>
    </xf>
    <xf numFmtId="166" fontId="11" fillId="3" borderId="1" xfId="0" applyNumberFormat="1" applyFont="1" applyFill="1" applyBorder="1" applyAlignment="1">
      <alignment horizontal="right" vertical="center"/>
    </xf>
    <xf numFmtId="166" fontId="10" fillId="3" borderId="1" xfId="0" applyNumberFormat="1" applyFont="1" applyFill="1" applyBorder="1" applyAlignment="1">
      <alignment horizontal="right" vertical="center"/>
    </xf>
    <xf numFmtId="166" fontId="11" fillId="4" borderId="1" xfId="0" applyNumberFormat="1" applyFont="1" applyFill="1" applyBorder="1" applyAlignment="1" applyProtection="1">
      <alignment horizontal="right" vertical="center"/>
      <protection locked="0"/>
    </xf>
    <xf numFmtId="166" fontId="11" fillId="4" borderId="1" xfId="0" applyNumberFormat="1" applyFont="1" applyFill="1" applyBorder="1" applyAlignment="1">
      <alignment horizontal="right" vertical="center"/>
    </xf>
    <xf numFmtId="0" fontId="6" fillId="5" borderId="4" xfId="0" applyFont="1" applyFill="1" applyBorder="1"/>
    <xf numFmtId="0" fontId="6" fillId="5" borderId="4" xfId="0" applyFont="1" applyFill="1" applyBorder="1" applyAlignment="1">
      <alignment horizontal="right" vertical="center"/>
    </xf>
    <xf numFmtId="166" fontId="6" fillId="5" borderId="4" xfId="0" applyNumberFormat="1" applyFont="1" applyFill="1" applyBorder="1" applyAlignment="1">
      <alignment horizontal="right" vertical="center"/>
    </xf>
    <xf numFmtId="0" fontId="20" fillId="6" borderId="4" xfId="0" applyFont="1" applyFill="1" applyBorder="1" applyAlignment="1">
      <alignment horizontal="center" vertical="center" wrapText="1"/>
    </xf>
    <xf numFmtId="165" fontId="25" fillId="3" borderId="1" xfId="0" applyNumberFormat="1" applyFont="1" applyFill="1" applyBorder="1" applyAlignment="1" applyProtection="1">
      <alignment horizontal="center" vertical="center"/>
      <protection locked="0"/>
    </xf>
    <xf numFmtId="3" fontId="15" fillId="8" borderId="1" xfId="0" applyNumberFormat="1" applyFont="1" applyFill="1" applyBorder="1" applyAlignment="1">
      <alignment horizontal="center" vertical="center"/>
    </xf>
    <xf numFmtId="166" fontId="15" fillId="8" borderId="1" xfId="0" applyNumberFormat="1" applyFont="1" applyFill="1" applyBorder="1" applyAlignment="1">
      <alignment horizontal="right" vertical="center"/>
    </xf>
    <xf numFmtId="166" fontId="25" fillId="8" borderId="1" xfId="0" applyNumberFormat="1" applyFont="1" applyFill="1" applyBorder="1" applyAlignment="1">
      <alignment horizontal="right" vertical="center"/>
    </xf>
    <xf numFmtId="165" fontId="6" fillId="5" borderId="4" xfId="0" applyNumberFormat="1" applyFont="1" applyFill="1" applyBorder="1" applyAlignment="1">
      <alignment horizontal="center" vertical="center"/>
    </xf>
    <xf numFmtId="3" fontId="6" fillId="5" borderId="4" xfId="0" applyNumberFormat="1" applyFont="1" applyFill="1" applyBorder="1" applyAlignment="1">
      <alignment horizontal="right" vertical="center"/>
    </xf>
    <xf numFmtId="0" fontId="6" fillId="6" borderId="4" xfId="0" applyFont="1" applyFill="1" applyBorder="1" applyAlignment="1">
      <alignment horizontal="center" vertical="center" wrapText="1"/>
    </xf>
    <xf numFmtId="166" fontId="21" fillId="7" borderId="1" xfId="0" applyNumberFormat="1" applyFont="1" applyFill="1" applyBorder="1" applyAlignment="1">
      <alignment horizontal="right" vertical="center"/>
    </xf>
    <xf numFmtId="3" fontId="6" fillId="5" borderId="4" xfId="0" applyNumberFormat="1" applyFont="1" applyFill="1" applyBorder="1" applyAlignment="1">
      <alignment horizontal="center" vertical="center"/>
    </xf>
    <xf numFmtId="166" fontId="25" fillId="3" borderId="1" xfId="0" applyNumberFormat="1" applyFont="1" applyFill="1" applyBorder="1" applyAlignment="1">
      <alignment horizontal="right" vertical="center"/>
    </xf>
    <xf numFmtId="0" fontId="10" fillId="7" borderId="1" xfId="0" applyFont="1" applyFill="1" applyBorder="1" applyAlignment="1">
      <alignment horizontal="center" vertical="center"/>
    </xf>
    <xf numFmtId="0" fontId="0" fillId="0" borderId="2" xfId="0" applyBorder="1"/>
    <xf numFmtId="0" fontId="24" fillId="7" borderId="1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0" fillId="0" borderId="0" xfId="0"/>
    <xf numFmtId="0" fontId="22" fillId="7" borderId="11" xfId="0" applyFont="1" applyFill="1" applyBorder="1" applyAlignment="1">
      <alignment horizontal="left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6" fillId="6" borderId="0" xfId="0" applyFont="1" applyFill="1" applyAlignment="1">
      <alignment horizontal="center" vertical="center"/>
    </xf>
    <xf numFmtId="3" fontId="8" fillId="7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" fillId="5" borderId="0" xfId="0" applyFont="1" applyFill="1" applyAlignment="1">
      <alignment horizontal="center" vertical="center" wrapText="1"/>
    </xf>
    <xf numFmtId="3" fontId="8" fillId="2" borderId="1" xfId="0" applyNumberFormat="1" applyFont="1" applyFill="1" applyBorder="1" applyAlignment="1">
      <alignment horizontal="center" vertical="center"/>
    </xf>
    <xf numFmtId="0" fontId="0" fillId="0" borderId="8" xfId="0" applyBorder="1"/>
    <xf numFmtId="0" fontId="9" fillId="7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6" fillId="5" borderId="4" xfId="0" applyFont="1" applyFill="1" applyBorder="1" applyAlignment="1">
      <alignment horizontal="right" vertical="center"/>
    </xf>
    <xf numFmtId="0" fontId="0" fillId="0" borderId="10" xfId="0" applyBorder="1"/>
    <xf numFmtId="0" fontId="19" fillId="0" borderId="0" xfId="0" applyFont="1" applyAlignment="1">
      <alignment horizontal="left" vertical="center"/>
    </xf>
    <xf numFmtId="0" fontId="17" fillId="0" borderId="0" xfId="0" applyFont="1"/>
    <xf numFmtId="0" fontId="13" fillId="0" borderId="0" xfId="0" applyFont="1"/>
    <xf numFmtId="0" fontId="12" fillId="0" borderId="0" xfId="0" applyFont="1" applyAlignment="1">
      <alignment horizontal="left" vertical="center"/>
    </xf>
    <xf numFmtId="0" fontId="0" fillId="0" borderId="9" xfId="0" applyBorder="1"/>
    <xf numFmtId="0" fontId="3" fillId="0" borderId="0" xfId="0" applyFont="1"/>
    <xf numFmtId="0" fontId="18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1"/>
  <sheetViews>
    <sheetView showGridLines="0" workbookViewId="0">
      <pane ySplit="12" topLeftCell="A13" activePane="bottomLeft" state="frozen"/>
      <selection pane="bottomLeft" activeCell="P38" sqref="P38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8" customWidth="1"/>
    <col min="4" max="4" width="22" customWidth="1"/>
    <col min="5" max="5" width="11" customWidth="1"/>
    <col min="6" max="7" width="12" customWidth="1"/>
    <col min="8" max="8" width="14" customWidth="1"/>
    <col min="9" max="9" width="10" customWidth="1"/>
    <col min="10" max="10" width="15" customWidth="1"/>
    <col min="11" max="11" width="11" customWidth="1"/>
    <col min="12" max="12" width="12" customWidth="1"/>
    <col min="13" max="13" width="9" customWidth="1"/>
    <col min="14" max="14" width="15" customWidth="1"/>
    <col min="15" max="15" width="13" customWidth="1"/>
  </cols>
  <sheetData>
    <row r="1" spans="1:15" ht="26" customHeight="1" x14ac:dyDescent="0.2">
      <c r="A1" s="69" t="s">
        <v>0</v>
      </c>
      <c r="B1" s="59"/>
      <c r="C1" s="64" t="s">
        <v>1</v>
      </c>
      <c r="D1" s="59"/>
      <c r="E1" s="59"/>
      <c r="F1" s="59"/>
      <c r="G1" s="59"/>
      <c r="H1" s="59"/>
      <c r="I1" s="59"/>
      <c r="J1" s="59"/>
      <c r="L1" s="73" t="s">
        <v>2</v>
      </c>
      <c r="M1" s="59"/>
      <c r="N1" s="59"/>
      <c r="O1" s="59"/>
    </row>
    <row r="2" spans="1:15" ht="18" customHeight="1" x14ac:dyDescent="0.2">
      <c r="A2" s="59"/>
      <c r="B2" s="59"/>
      <c r="C2" s="68" t="s">
        <v>3</v>
      </c>
      <c r="D2" s="59"/>
      <c r="E2" s="59"/>
      <c r="F2" s="59"/>
      <c r="G2" s="59"/>
      <c r="H2" s="59"/>
      <c r="I2" s="59"/>
      <c r="J2" s="59"/>
      <c r="L2" s="65" t="s">
        <v>4</v>
      </c>
      <c r="M2" s="59"/>
      <c r="N2" s="59"/>
      <c r="O2" s="59"/>
    </row>
    <row r="4" spans="1:15" ht="19" customHeight="1" x14ac:dyDescent="0.2">
      <c r="A4" s="66" t="s">
        <v>5</v>
      </c>
      <c r="B4" s="59"/>
      <c r="C4" s="59"/>
      <c r="D4" s="59"/>
      <c r="E4" s="59"/>
      <c r="G4" s="66" t="s">
        <v>6</v>
      </c>
      <c r="H4" s="59"/>
      <c r="I4" s="59"/>
      <c r="L4" s="66" t="s">
        <v>7</v>
      </c>
      <c r="M4" s="59"/>
      <c r="N4" s="59"/>
      <c r="O4" s="59"/>
    </row>
    <row r="5" spans="1:15" ht="19" customHeight="1" x14ac:dyDescent="0.2">
      <c r="A5" s="31" t="s">
        <v>8</v>
      </c>
      <c r="B5" s="31" t="s">
        <v>9</v>
      </c>
      <c r="C5" s="31" t="s">
        <v>10</v>
      </c>
      <c r="D5" s="31" t="s">
        <v>11</v>
      </c>
      <c r="E5" s="31" t="s">
        <v>12</v>
      </c>
      <c r="G5" s="31" t="s">
        <v>13</v>
      </c>
      <c r="H5" s="31" t="s">
        <v>14</v>
      </c>
      <c r="I5" s="31" t="s">
        <v>15</v>
      </c>
      <c r="L5" s="31" t="s">
        <v>16</v>
      </c>
      <c r="M5" s="31" t="str">
        <f>ทีมขาย!A6</f>
        <v>MIZTEEN</v>
      </c>
      <c r="N5" s="31" t="str">
        <f>ทีมขาย!A7</f>
        <v>OLIVE</v>
      </c>
      <c r="O5" s="31" t="str">
        <f>ทีมขาย!A8</f>
        <v>SUPPORT</v>
      </c>
    </row>
    <row r="6" spans="1:15" ht="19" customHeight="1" x14ac:dyDescent="0.2">
      <c r="A6" s="32">
        <f>SUM(J13:J52)</f>
        <v>15588</v>
      </c>
      <c r="B6" s="32">
        <f>SUMIF(C13:C52,"Q1",J13:J52)</f>
        <v>0</v>
      </c>
      <c r="C6" s="32">
        <f>SUMIF(C13:C52,"Q2",J13:J52)</f>
        <v>0</v>
      </c>
      <c r="D6" s="32">
        <f>SUMIF(C13:C52,"Q3",J13:J52)</f>
        <v>0</v>
      </c>
      <c r="E6" s="32">
        <f>SUMIF(C13:C52,"Q4",J13:J52)</f>
        <v>0</v>
      </c>
      <c r="G6" s="1">
        <f>SUM(H13:H52)</f>
        <v>15588</v>
      </c>
      <c r="H6" s="1">
        <f>SUM(H13:H52)-SUM(J13:J52)</f>
        <v>0</v>
      </c>
      <c r="I6" s="32">
        <f>SUM(J13:J52)</f>
        <v>15588</v>
      </c>
      <c r="L6" s="32">
        <f>SUM(N13:N52)</f>
        <v>1558.8000000000002</v>
      </c>
      <c r="M6" s="1">
        <f>ทีมขาย!F6</f>
        <v>779.40000000000009</v>
      </c>
      <c r="N6" s="1">
        <f>ทีมขาย!F7</f>
        <v>467.64000000000004</v>
      </c>
      <c r="O6" s="1">
        <f>ทีมขาย!F8</f>
        <v>311.76000000000005</v>
      </c>
    </row>
    <row r="7" spans="1:15" ht="19" customHeight="1" x14ac:dyDescent="0.2">
      <c r="A7" s="33" t="s">
        <v>17</v>
      </c>
      <c r="B7" s="32">
        <f>SUMIF(C13:C52,"Q1",N13:N52)</f>
        <v>0</v>
      </c>
      <c r="C7" s="32">
        <f>SUMIF(C13:C52,"Q2",N13:N52)</f>
        <v>0</v>
      </c>
      <c r="D7" s="32">
        <f>SUMIF(C13:C52,"Q3",N13:N52)</f>
        <v>0</v>
      </c>
      <c r="E7" s="32">
        <f>SUMIF(C13:C52,"Q4",N13:N52)</f>
        <v>0</v>
      </c>
      <c r="G7" s="72" t="s">
        <v>18</v>
      </c>
      <c r="H7" s="71"/>
      <c r="I7" s="55"/>
      <c r="L7" s="54" t="s">
        <v>19</v>
      </c>
      <c r="M7" s="55"/>
      <c r="N7" s="56" t="s">
        <v>20</v>
      </c>
      <c r="O7" s="55"/>
    </row>
    <row r="8" spans="1:15" ht="19" customHeight="1" x14ac:dyDescent="0.2">
      <c r="A8" s="32">
        <f>SUM(N13:N52)</f>
        <v>1558.8000000000002</v>
      </c>
      <c r="G8" s="70">
        <f>COUNTA(B13:B52)</f>
        <v>0</v>
      </c>
      <c r="H8" s="71"/>
      <c r="I8" s="55"/>
      <c r="L8" s="67">
        <f>SUMIF(O13:O52,"จ่ายแล้ว",N13:N52)</f>
        <v>1558.8000000000002</v>
      </c>
      <c r="M8" s="55"/>
      <c r="N8" s="67">
        <f>SUM(N13:N52)-SUMIF(O13:O52,"จ่ายแล้ว",N13:N52)</f>
        <v>0</v>
      </c>
      <c r="O8" s="55"/>
    </row>
    <row r="11" spans="1:15" ht="20" customHeight="1" x14ac:dyDescent="0.2">
      <c r="A11" s="57" t="s">
        <v>21</v>
      </c>
      <c r="B11" s="62"/>
      <c r="C11" s="63"/>
      <c r="D11" s="57" t="s">
        <v>22</v>
      </c>
      <c r="E11" s="57" t="s">
        <v>23</v>
      </c>
      <c r="F11" s="63"/>
      <c r="G11" s="57" t="s">
        <v>24</v>
      </c>
      <c r="H11" s="57" t="s">
        <v>25</v>
      </c>
      <c r="I11" s="62"/>
      <c r="J11" s="63"/>
      <c r="K11" s="57" t="s">
        <v>26</v>
      </c>
      <c r="L11" s="62"/>
      <c r="M11" s="62"/>
      <c r="N11" s="63"/>
      <c r="O11" s="57" t="s">
        <v>27</v>
      </c>
    </row>
    <row r="12" spans="1:15" ht="28" customHeight="1" x14ac:dyDescent="0.2">
      <c r="A12" s="34" t="s">
        <v>28</v>
      </c>
      <c r="B12" s="34" t="s">
        <v>29</v>
      </c>
      <c r="C12" s="34" t="s">
        <v>30</v>
      </c>
      <c r="D12" s="34" t="s">
        <v>31</v>
      </c>
      <c r="E12" s="34" t="s">
        <v>32</v>
      </c>
      <c r="F12" s="34" t="s">
        <v>33</v>
      </c>
      <c r="G12" s="34" t="s">
        <v>34</v>
      </c>
      <c r="H12" s="34" t="s">
        <v>35</v>
      </c>
      <c r="I12" s="34" t="s">
        <v>36</v>
      </c>
      <c r="J12" s="34" t="s">
        <v>37</v>
      </c>
      <c r="K12" s="34" t="s">
        <v>38</v>
      </c>
      <c r="L12" s="34" t="s">
        <v>39</v>
      </c>
      <c r="M12" s="34" t="s">
        <v>40</v>
      </c>
      <c r="N12" s="34" t="s">
        <v>41</v>
      </c>
      <c r="O12" s="34" t="s">
        <v>42</v>
      </c>
    </row>
    <row r="13" spans="1:15" x14ac:dyDescent="0.2">
      <c r="A13" s="2" t="str">
        <f t="shared" ref="A13:A52" si="0">IF(B13="","",ROW()-12)</f>
        <v/>
      </c>
      <c r="B13" s="16"/>
      <c r="C13" s="2" t="str">
        <f t="shared" ref="C13:C52" si="1">IF(B13="","","Q"&amp;ROUNDUP(MONTH(B13)/3,0))</f>
        <v/>
      </c>
      <c r="D13" s="17" t="s">
        <v>113</v>
      </c>
      <c r="E13" s="18" t="s">
        <v>115</v>
      </c>
      <c r="F13" s="18" t="s">
        <v>19</v>
      </c>
      <c r="G13" s="18" t="s">
        <v>79</v>
      </c>
      <c r="H13" s="35">
        <f>IF(G13="","",IFERROR(VLOOKUP(G13,Rate!$A$4:$B$7,2,FALSE),""))</f>
        <v>15588</v>
      </c>
      <c r="I13" s="19"/>
      <c r="J13" s="36">
        <f t="shared" ref="J13:J52" si="2">IF(H13="","",H13*(1-IF(I13="",0,I13)))</f>
        <v>15588</v>
      </c>
      <c r="K13" s="18" t="s">
        <v>114</v>
      </c>
      <c r="L13" s="18"/>
      <c r="M13" s="5">
        <f>IF(G13="","",IFERROR(IF(E13="ต่ออายุ",VLOOKUP(G13,Rate!$A$4:$E$7,5,FALSE),VLOOKUP(G13,Rate!$A$4:$C$7,3,FALSE)),""))</f>
        <v>0.1</v>
      </c>
      <c r="N13" s="37">
        <f t="shared" ref="N13:N52" si="3">IF(OR(J13="",M13=""),"",J13*M13)</f>
        <v>1558.8000000000002</v>
      </c>
      <c r="O13" s="18" t="s">
        <v>19</v>
      </c>
    </row>
    <row r="14" spans="1:15" x14ac:dyDescent="0.2">
      <c r="A14" s="6" t="str">
        <f t="shared" si="0"/>
        <v/>
      </c>
      <c r="B14" s="20"/>
      <c r="C14" s="6" t="str">
        <f t="shared" si="1"/>
        <v/>
      </c>
      <c r="D14" s="21"/>
      <c r="E14" s="22"/>
      <c r="F14" s="22"/>
      <c r="G14" s="22"/>
      <c r="H14" s="38" t="str">
        <f>IF(G14="","",IFERROR(VLOOKUP(G14,Rate!$A$4:$B$7,2,FALSE),""))</f>
        <v/>
      </c>
      <c r="I14" s="23"/>
      <c r="J14" s="39" t="str">
        <f t="shared" si="2"/>
        <v/>
      </c>
      <c r="K14" s="22"/>
      <c r="L14" s="22"/>
      <c r="M14" s="7" t="str">
        <f>IF(G14="","",IFERROR(IF(E14="ต่ออายุ",VLOOKUP(G14,Rate!$A$4:$E$7,5,FALSE),VLOOKUP(G14,Rate!$A$4:$C$7,3,FALSE)),""))</f>
        <v/>
      </c>
      <c r="N14" s="37" t="str">
        <f t="shared" si="3"/>
        <v/>
      </c>
      <c r="O14" s="22"/>
    </row>
    <row r="15" spans="1:15" x14ac:dyDescent="0.2">
      <c r="A15" s="2" t="str">
        <f t="shared" si="0"/>
        <v/>
      </c>
      <c r="B15" s="16"/>
      <c r="C15" s="2" t="str">
        <f t="shared" si="1"/>
        <v/>
      </c>
      <c r="D15" s="17"/>
      <c r="E15" s="18"/>
      <c r="F15" s="18"/>
      <c r="G15" s="18"/>
      <c r="H15" s="35" t="str">
        <f>IF(G15="","",IFERROR(VLOOKUP(G15,Rate!$A$4:$B$7,2,FALSE),""))</f>
        <v/>
      </c>
      <c r="I15" s="19"/>
      <c r="J15" s="36" t="str">
        <f t="shared" si="2"/>
        <v/>
      </c>
      <c r="K15" s="18"/>
      <c r="L15" s="18"/>
      <c r="M15" s="5" t="str">
        <f>IF(G15="","",IFERROR(IF(E15="ต่ออายุ",VLOOKUP(G15,Rate!$A$4:$E$7,5,FALSE),VLOOKUP(G15,Rate!$A$4:$C$7,3,FALSE)),""))</f>
        <v/>
      </c>
      <c r="N15" s="37" t="str">
        <f t="shared" si="3"/>
        <v/>
      </c>
      <c r="O15" s="18"/>
    </row>
    <row r="16" spans="1:15" x14ac:dyDescent="0.2">
      <c r="A16" s="6" t="str">
        <f t="shared" si="0"/>
        <v/>
      </c>
      <c r="B16" s="20"/>
      <c r="C16" s="6" t="str">
        <f t="shared" si="1"/>
        <v/>
      </c>
      <c r="D16" s="21"/>
      <c r="E16" s="22"/>
      <c r="F16" s="22"/>
      <c r="G16" s="22"/>
      <c r="H16" s="38" t="str">
        <f>IF(G16="","",IFERROR(VLOOKUP(G16,Rate!$A$4:$B$7,2,FALSE),""))</f>
        <v/>
      </c>
      <c r="I16" s="23"/>
      <c r="J16" s="39" t="str">
        <f t="shared" si="2"/>
        <v/>
      </c>
      <c r="K16" s="22"/>
      <c r="L16" s="22"/>
      <c r="M16" s="7" t="str">
        <f>IF(G16="","",IFERROR(IF(E16="ต่ออายุ",VLOOKUP(G16,Rate!$A$4:$E$7,5,FALSE),VLOOKUP(G16,Rate!$A$4:$C$7,3,FALSE)),""))</f>
        <v/>
      </c>
      <c r="N16" s="37" t="str">
        <f t="shared" si="3"/>
        <v/>
      </c>
      <c r="O16" s="22"/>
    </row>
    <row r="17" spans="1:15" x14ac:dyDescent="0.2">
      <c r="A17" s="2" t="str">
        <f t="shared" si="0"/>
        <v/>
      </c>
      <c r="B17" s="16"/>
      <c r="C17" s="2" t="str">
        <f t="shared" si="1"/>
        <v/>
      </c>
      <c r="D17" s="17"/>
      <c r="E17" s="18"/>
      <c r="F17" s="18"/>
      <c r="G17" s="18"/>
      <c r="H17" s="35" t="str">
        <f>IF(G17="","",IFERROR(VLOOKUP(G17,Rate!$A$4:$B$7,2,FALSE),""))</f>
        <v/>
      </c>
      <c r="I17" s="19"/>
      <c r="J17" s="36" t="str">
        <f t="shared" si="2"/>
        <v/>
      </c>
      <c r="K17" s="18"/>
      <c r="L17" s="18"/>
      <c r="M17" s="5" t="str">
        <f>IF(G17="","",IFERROR(IF(E17="ต่ออายุ",VLOOKUP(G17,Rate!$A$4:$E$7,5,FALSE),VLOOKUP(G17,Rate!$A$4:$C$7,3,FALSE)),""))</f>
        <v/>
      </c>
      <c r="N17" s="37" t="str">
        <f t="shared" si="3"/>
        <v/>
      </c>
      <c r="O17" s="18"/>
    </row>
    <row r="18" spans="1:15" x14ac:dyDescent="0.2">
      <c r="A18" s="6" t="str">
        <f t="shared" si="0"/>
        <v/>
      </c>
      <c r="B18" s="20"/>
      <c r="C18" s="6" t="str">
        <f t="shared" si="1"/>
        <v/>
      </c>
      <c r="D18" s="21"/>
      <c r="E18" s="22"/>
      <c r="F18" s="22"/>
      <c r="G18" s="22"/>
      <c r="H18" s="38" t="str">
        <f>IF(G18="","",IFERROR(VLOOKUP(G18,Rate!$A$4:$B$7,2,FALSE),""))</f>
        <v/>
      </c>
      <c r="I18" s="23"/>
      <c r="J18" s="39" t="str">
        <f t="shared" si="2"/>
        <v/>
      </c>
      <c r="K18" s="22"/>
      <c r="L18" s="22"/>
      <c r="M18" s="7" t="str">
        <f>IF(G18="","",IFERROR(IF(E18="ต่ออายุ",VLOOKUP(G18,Rate!$A$4:$E$7,5,FALSE),VLOOKUP(G18,Rate!$A$4:$C$7,3,FALSE)),""))</f>
        <v/>
      </c>
      <c r="N18" s="37" t="str">
        <f t="shared" si="3"/>
        <v/>
      </c>
      <c r="O18" s="22"/>
    </row>
    <row r="19" spans="1:15" x14ac:dyDescent="0.2">
      <c r="A19" s="2" t="str">
        <f t="shared" si="0"/>
        <v/>
      </c>
      <c r="B19" s="16"/>
      <c r="C19" s="2" t="str">
        <f t="shared" si="1"/>
        <v/>
      </c>
      <c r="D19" s="17"/>
      <c r="E19" s="18"/>
      <c r="F19" s="18"/>
      <c r="G19" s="18"/>
      <c r="H19" s="35" t="str">
        <f>IF(G19="","",IFERROR(VLOOKUP(G19,Rate!$A$4:$B$7,2,FALSE),""))</f>
        <v/>
      </c>
      <c r="I19" s="19"/>
      <c r="J19" s="36" t="str">
        <f t="shared" si="2"/>
        <v/>
      </c>
      <c r="K19" s="18"/>
      <c r="L19" s="18"/>
      <c r="M19" s="5" t="str">
        <f>IF(G19="","",IFERROR(IF(E19="ต่ออายุ",VLOOKUP(G19,Rate!$A$4:$E$7,5,FALSE),VLOOKUP(G19,Rate!$A$4:$C$7,3,FALSE)),""))</f>
        <v/>
      </c>
      <c r="N19" s="37" t="str">
        <f t="shared" si="3"/>
        <v/>
      </c>
      <c r="O19" s="18"/>
    </row>
    <row r="20" spans="1:15" x14ac:dyDescent="0.2">
      <c r="A20" s="6" t="str">
        <f t="shared" si="0"/>
        <v/>
      </c>
      <c r="B20" s="20"/>
      <c r="C20" s="6" t="str">
        <f t="shared" si="1"/>
        <v/>
      </c>
      <c r="D20" s="21"/>
      <c r="E20" s="22"/>
      <c r="F20" s="22"/>
      <c r="G20" s="22"/>
      <c r="H20" s="38" t="str">
        <f>IF(G20="","",IFERROR(VLOOKUP(G20,Rate!$A$4:$B$7,2,FALSE),""))</f>
        <v/>
      </c>
      <c r="I20" s="23"/>
      <c r="J20" s="39" t="str">
        <f t="shared" si="2"/>
        <v/>
      </c>
      <c r="K20" s="22"/>
      <c r="L20" s="22"/>
      <c r="M20" s="7" t="str">
        <f>IF(G20="","",IFERROR(IF(E20="ต่ออายุ",VLOOKUP(G20,Rate!$A$4:$E$7,5,FALSE),VLOOKUP(G20,Rate!$A$4:$C$7,3,FALSE)),""))</f>
        <v/>
      </c>
      <c r="N20" s="37" t="str">
        <f t="shared" si="3"/>
        <v/>
      </c>
      <c r="O20" s="22"/>
    </row>
    <row r="21" spans="1:15" x14ac:dyDescent="0.2">
      <c r="A21" s="2" t="str">
        <f t="shared" si="0"/>
        <v/>
      </c>
      <c r="B21" s="16"/>
      <c r="C21" s="2" t="str">
        <f t="shared" si="1"/>
        <v/>
      </c>
      <c r="D21" s="17"/>
      <c r="E21" s="18"/>
      <c r="F21" s="18"/>
      <c r="G21" s="18"/>
      <c r="H21" s="35" t="str">
        <f>IF(G21="","",IFERROR(VLOOKUP(G21,Rate!$A$4:$B$7,2,FALSE),""))</f>
        <v/>
      </c>
      <c r="I21" s="19"/>
      <c r="J21" s="36" t="str">
        <f t="shared" si="2"/>
        <v/>
      </c>
      <c r="K21" s="18"/>
      <c r="L21" s="18"/>
      <c r="M21" s="5" t="str">
        <f>IF(G21="","",IFERROR(IF(E21="ต่ออายุ",VLOOKUP(G21,Rate!$A$4:$E$7,5,FALSE),VLOOKUP(G21,Rate!$A$4:$C$7,3,FALSE)),""))</f>
        <v/>
      </c>
      <c r="N21" s="37" t="str">
        <f t="shared" si="3"/>
        <v/>
      </c>
      <c r="O21" s="18"/>
    </row>
    <row r="22" spans="1:15" x14ac:dyDescent="0.2">
      <c r="A22" s="6" t="str">
        <f t="shared" si="0"/>
        <v/>
      </c>
      <c r="B22" s="20"/>
      <c r="C22" s="6" t="str">
        <f t="shared" si="1"/>
        <v/>
      </c>
      <c r="D22" s="21"/>
      <c r="E22" s="22"/>
      <c r="F22" s="22"/>
      <c r="G22" s="22"/>
      <c r="H22" s="38" t="str">
        <f>IF(G22="","",IFERROR(VLOOKUP(G22,Rate!$A$4:$B$7,2,FALSE),""))</f>
        <v/>
      </c>
      <c r="I22" s="23"/>
      <c r="J22" s="39" t="str">
        <f t="shared" si="2"/>
        <v/>
      </c>
      <c r="K22" s="22"/>
      <c r="L22" s="22"/>
      <c r="M22" s="7" t="str">
        <f>IF(G22="","",IFERROR(IF(E22="ต่ออายุ",VLOOKUP(G22,Rate!$A$4:$E$7,5,FALSE),VLOOKUP(G22,Rate!$A$4:$C$7,3,FALSE)),""))</f>
        <v/>
      </c>
      <c r="N22" s="37" t="str">
        <f t="shared" si="3"/>
        <v/>
      </c>
      <c r="O22" s="22"/>
    </row>
    <row r="23" spans="1:15" x14ac:dyDescent="0.2">
      <c r="A23" s="2" t="str">
        <f t="shared" si="0"/>
        <v/>
      </c>
      <c r="B23" s="16"/>
      <c r="C23" s="2" t="str">
        <f t="shared" si="1"/>
        <v/>
      </c>
      <c r="D23" s="17"/>
      <c r="E23" s="18"/>
      <c r="F23" s="18"/>
      <c r="G23" s="18"/>
      <c r="H23" s="35" t="str">
        <f>IF(G23="","",IFERROR(VLOOKUP(G23,Rate!$A$4:$B$7,2,FALSE),""))</f>
        <v/>
      </c>
      <c r="I23" s="19"/>
      <c r="J23" s="36" t="str">
        <f t="shared" si="2"/>
        <v/>
      </c>
      <c r="K23" s="18"/>
      <c r="L23" s="18"/>
      <c r="M23" s="5" t="str">
        <f>IF(G23="","",IFERROR(IF(E23="ต่ออายุ",VLOOKUP(G23,Rate!$A$4:$E$7,5,FALSE),VLOOKUP(G23,Rate!$A$4:$C$7,3,FALSE)),""))</f>
        <v/>
      </c>
      <c r="N23" s="37" t="str">
        <f t="shared" si="3"/>
        <v/>
      </c>
      <c r="O23" s="18"/>
    </row>
    <row r="24" spans="1:15" x14ac:dyDescent="0.2">
      <c r="A24" s="6" t="str">
        <f t="shared" si="0"/>
        <v/>
      </c>
      <c r="B24" s="20"/>
      <c r="C24" s="6" t="str">
        <f t="shared" si="1"/>
        <v/>
      </c>
      <c r="D24" s="21"/>
      <c r="E24" s="22"/>
      <c r="F24" s="22"/>
      <c r="G24" s="22"/>
      <c r="H24" s="38" t="str">
        <f>IF(G24="","",IFERROR(VLOOKUP(G24,Rate!$A$4:$B$7,2,FALSE),""))</f>
        <v/>
      </c>
      <c r="I24" s="23"/>
      <c r="J24" s="39" t="str">
        <f t="shared" si="2"/>
        <v/>
      </c>
      <c r="K24" s="22"/>
      <c r="L24" s="22"/>
      <c r="M24" s="7" t="str">
        <f>IF(G24="","",IFERROR(IF(E24="ต่ออายุ",VLOOKUP(G24,Rate!$A$4:$E$7,5,FALSE),VLOOKUP(G24,Rate!$A$4:$C$7,3,FALSE)),""))</f>
        <v/>
      </c>
      <c r="N24" s="37" t="str">
        <f t="shared" si="3"/>
        <v/>
      </c>
      <c r="O24" s="22"/>
    </row>
    <row r="25" spans="1:15" x14ac:dyDescent="0.2">
      <c r="A25" s="2" t="str">
        <f t="shared" si="0"/>
        <v/>
      </c>
      <c r="B25" s="16"/>
      <c r="C25" s="2" t="str">
        <f t="shared" si="1"/>
        <v/>
      </c>
      <c r="D25" s="17"/>
      <c r="E25" s="18"/>
      <c r="F25" s="18"/>
      <c r="G25" s="18"/>
      <c r="H25" s="35" t="str">
        <f>IF(G25="","",IFERROR(VLOOKUP(G25,Rate!$A$4:$B$7,2,FALSE),""))</f>
        <v/>
      </c>
      <c r="I25" s="19"/>
      <c r="J25" s="36" t="str">
        <f t="shared" si="2"/>
        <v/>
      </c>
      <c r="K25" s="18"/>
      <c r="L25" s="18"/>
      <c r="M25" s="5" t="str">
        <f>IF(G25="","",IFERROR(IF(E25="ต่ออายุ",VLOOKUP(G25,Rate!$A$4:$E$7,5,FALSE),VLOOKUP(G25,Rate!$A$4:$C$7,3,FALSE)),""))</f>
        <v/>
      </c>
      <c r="N25" s="37" t="str">
        <f t="shared" si="3"/>
        <v/>
      </c>
      <c r="O25" s="18"/>
    </row>
    <row r="26" spans="1:15" x14ac:dyDescent="0.2">
      <c r="A26" s="6" t="str">
        <f t="shared" si="0"/>
        <v/>
      </c>
      <c r="B26" s="20"/>
      <c r="C26" s="6" t="str">
        <f t="shared" si="1"/>
        <v/>
      </c>
      <c r="D26" s="21"/>
      <c r="E26" s="22"/>
      <c r="F26" s="22"/>
      <c r="G26" s="22"/>
      <c r="H26" s="38" t="str">
        <f>IF(G26="","",IFERROR(VLOOKUP(G26,Rate!$A$4:$B$7,2,FALSE),""))</f>
        <v/>
      </c>
      <c r="I26" s="23"/>
      <c r="J26" s="39" t="str">
        <f t="shared" si="2"/>
        <v/>
      </c>
      <c r="K26" s="22"/>
      <c r="L26" s="22"/>
      <c r="M26" s="7" t="str">
        <f>IF(G26="","",IFERROR(IF(E26="ต่ออายุ",VLOOKUP(G26,Rate!$A$4:$E$7,5,FALSE),VLOOKUP(G26,Rate!$A$4:$C$7,3,FALSE)),""))</f>
        <v/>
      </c>
      <c r="N26" s="37" t="str">
        <f t="shared" si="3"/>
        <v/>
      </c>
      <c r="O26" s="22"/>
    </row>
    <row r="27" spans="1:15" x14ac:dyDescent="0.2">
      <c r="A27" s="2" t="str">
        <f t="shared" si="0"/>
        <v/>
      </c>
      <c r="B27" s="16"/>
      <c r="C27" s="2" t="str">
        <f t="shared" si="1"/>
        <v/>
      </c>
      <c r="D27" s="17"/>
      <c r="E27" s="18"/>
      <c r="F27" s="18"/>
      <c r="G27" s="18"/>
      <c r="H27" s="35" t="str">
        <f>IF(G27="","",IFERROR(VLOOKUP(G27,Rate!$A$4:$B$7,2,FALSE),""))</f>
        <v/>
      </c>
      <c r="I27" s="19"/>
      <c r="J27" s="36" t="str">
        <f t="shared" si="2"/>
        <v/>
      </c>
      <c r="K27" s="18"/>
      <c r="L27" s="18"/>
      <c r="M27" s="5" t="str">
        <f>IF(G27="","",IFERROR(IF(E27="ต่ออายุ",VLOOKUP(G27,Rate!$A$4:$E$7,5,FALSE),VLOOKUP(G27,Rate!$A$4:$C$7,3,FALSE)),""))</f>
        <v/>
      </c>
      <c r="N27" s="37" t="str">
        <f t="shared" si="3"/>
        <v/>
      </c>
      <c r="O27" s="18"/>
    </row>
    <row r="28" spans="1:15" x14ac:dyDescent="0.2">
      <c r="A28" s="6" t="str">
        <f t="shared" si="0"/>
        <v/>
      </c>
      <c r="B28" s="20"/>
      <c r="C28" s="6" t="str">
        <f t="shared" si="1"/>
        <v/>
      </c>
      <c r="D28" s="21"/>
      <c r="E28" s="22"/>
      <c r="F28" s="22"/>
      <c r="G28" s="22"/>
      <c r="H28" s="38" t="str">
        <f>IF(G28="","",IFERROR(VLOOKUP(G28,Rate!$A$4:$B$7,2,FALSE),""))</f>
        <v/>
      </c>
      <c r="I28" s="23"/>
      <c r="J28" s="39" t="str">
        <f t="shared" si="2"/>
        <v/>
      </c>
      <c r="K28" s="22"/>
      <c r="L28" s="22"/>
      <c r="M28" s="7" t="str">
        <f>IF(G28="","",IFERROR(IF(E28="ต่ออายุ",VLOOKUP(G28,Rate!$A$4:$E$7,5,FALSE),VLOOKUP(G28,Rate!$A$4:$C$7,3,FALSE)),""))</f>
        <v/>
      </c>
      <c r="N28" s="37" t="str">
        <f t="shared" si="3"/>
        <v/>
      </c>
      <c r="O28" s="22"/>
    </row>
    <row r="29" spans="1:15" x14ac:dyDescent="0.2">
      <c r="A29" s="2" t="str">
        <f t="shared" si="0"/>
        <v/>
      </c>
      <c r="B29" s="16"/>
      <c r="C29" s="2" t="str">
        <f t="shared" si="1"/>
        <v/>
      </c>
      <c r="D29" s="17"/>
      <c r="E29" s="18"/>
      <c r="F29" s="18"/>
      <c r="G29" s="18"/>
      <c r="H29" s="35" t="str">
        <f>IF(G29="","",IFERROR(VLOOKUP(G29,Rate!$A$4:$B$7,2,FALSE),""))</f>
        <v/>
      </c>
      <c r="I29" s="19"/>
      <c r="J29" s="36" t="str">
        <f t="shared" si="2"/>
        <v/>
      </c>
      <c r="K29" s="18"/>
      <c r="L29" s="18"/>
      <c r="M29" s="5" t="str">
        <f>IF(G29="","",IFERROR(IF(E29="ต่ออายุ",VLOOKUP(G29,Rate!$A$4:$E$7,5,FALSE),VLOOKUP(G29,Rate!$A$4:$C$7,3,FALSE)),""))</f>
        <v/>
      </c>
      <c r="N29" s="37" t="str">
        <f t="shared" si="3"/>
        <v/>
      </c>
      <c r="O29" s="18"/>
    </row>
    <row r="30" spans="1:15" x14ac:dyDescent="0.2">
      <c r="A30" s="6" t="str">
        <f t="shared" si="0"/>
        <v/>
      </c>
      <c r="B30" s="20"/>
      <c r="C30" s="6" t="str">
        <f t="shared" si="1"/>
        <v/>
      </c>
      <c r="D30" s="21"/>
      <c r="E30" s="22"/>
      <c r="F30" s="22"/>
      <c r="G30" s="22"/>
      <c r="H30" s="38" t="str">
        <f>IF(G30="","",IFERROR(VLOOKUP(G30,Rate!$A$4:$B$7,2,FALSE),""))</f>
        <v/>
      </c>
      <c r="I30" s="23"/>
      <c r="J30" s="39" t="str">
        <f t="shared" si="2"/>
        <v/>
      </c>
      <c r="K30" s="22"/>
      <c r="L30" s="22"/>
      <c r="M30" s="7" t="str">
        <f>IF(G30="","",IFERROR(IF(E30="ต่ออายุ",VLOOKUP(G30,Rate!$A$4:$E$7,5,FALSE),VLOOKUP(G30,Rate!$A$4:$C$7,3,FALSE)),""))</f>
        <v/>
      </c>
      <c r="N30" s="37" t="str">
        <f t="shared" si="3"/>
        <v/>
      </c>
      <c r="O30" s="22"/>
    </row>
    <row r="31" spans="1:15" x14ac:dyDescent="0.2">
      <c r="A31" s="2" t="str">
        <f t="shared" si="0"/>
        <v/>
      </c>
      <c r="B31" s="16"/>
      <c r="C31" s="2" t="str">
        <f t="shared" si="1"/>
        <v/>
      </c>
      <c r="D31" s="17"/>
      <c r="E31" s="18"/>
      <c r="F31" s="18"/>
      <c r="G31" s="18"/>
      <c r="H31" s="35" t="str">
        <f>IF(G31="","",IFERROR(VLOOKUP(G31,Rate!$A$4:$B$7,2,FALSE),""))</f>
        <v/>
      </c>
      <c r="I31" s="19"/>
      <c r="J31" s="36" t="str">
        <f t="shared" si="2"/>
        <v/>
      </c>
      <c r="K31" s="18"/>
      <c r="L31" s="18"/>
      <c r="M31" s="5" t="str">
        <f>IF(G31="","",IFERROR(IF(E31="ต่ออายุ",VLOOKUP(G31,Rate!$A$4:$E$7,5,FALSE),VLOOKUP(G31,Rate!$A$4:$C$7,3,FALSE)),""))</f>
        <v/>
      </c>
      <c r="N31" s="37" t="str">
        <f t="shared" si="3"/>
        <v/>
      </c>
      <c r="O31" s="18"/>
    </row>
    <row r="32" spans="1:15" x14ac:dyDescent="0.2">
      <c r="A32" s="6" t="str">
        <f t="shared" si="0"/>
        <v/>
      </c>
      <c r="B32" s="20"/>
      <c r="C32" s="6" t="str">
        <f t="shared" si="1"/>
        <v/>
      </c>
      <c r="D32" s="21"/>
      <c r="E32" s="22"/>
      <c r="F32" s="22"/>
      <c r="G32" s="22"/>
      <c r="H32" s="38" t="str">
        <f>IF(G32="","",IFERROR(VLOOKUP(G32,Rate!$A$4:$B$7,2,FALSE),""))</f>
        <v/>
      </c>
      <c r="I32" s="23"/>
      <c r="J32" s="39" t="str">
        <f t="shared" si="2"/>
        <v/>
      </c>
      <c r="K32" s="22"/>
      <c r="L32" s="22"/>
      <c r="M32" s="7" t="str">
        <f>IF(G32="","",IFERROR(IF(E32="ต่ออายุ",VLOOKUP(G32,Rate!$A$4:$E$7,5,FALSE),VLOOKUP(G32,Rate!$A$4:$C$7,3,FALSE)),""))</f>
        <v/>
      </c>
      <c r="N32" s="37" t="str">
        <f t="shared" si="3"/>
        <v/>
      </c>
      <c r="O32" s="22"/>
    </row>
    <row r="33" spans="1:15" x14ac:dyDescent="0.2">
      <c r="A33" s="2" t="str">
        <f t="shared" si="0"/>
        <v/>
      </c>
      <c r="B33" s="16"/>
      <c r="C33" s="2" t="str">
        <f t="shared" si="1"/>
        <v/>
      </c>
      <c r="D33" s="17"/>
      <c r="E33" s="18"/>
      <c r="F33" s="18"/>
      <c r="G33" s="18"/>
      <c r="H33" s="35" t="str">
        <f>IF(G33="","",IFERROR(VLOOKUP(G33,Rate!$A$4:$B$7,2,FALSE),""))</f>
        <v/>
      </c>
      <c r="I33" s="19"/>
      <c r="J33" s="36" t="str">
        <f t="shared" si="2"/>
        <v/>
      </c>
      <c r="K33" s="18"/>
      <c r="L33" s="18"/>
      <c r="M33" s="5" t="str">
        <f>IF(G33="","",IFERROR(IF(E33="ต่ออายุ",VLOOKUP(G33,Rate!$A$4:$E$7,5,FALSE),VLOOKUP(G33,Rate!$A$4:$C$7,3,FALSE)),""))</f>
        <v/>
      </c>
      <c r="N33" s="37" t="str">
        <f t="shared" si="3"/>
        <v/>
      </c>
      <c r="O33" s="18"/>
    </row>
    <row r="34" spans="1:15" x14ac:dyDescent="0.2">
      <c r="A34" s="6" t="str">
        <f t="shared" si="0"/>
        <v/>
      </c>
      <c r="B34" s="20"/>
      <c r="C34" s="6" t="str">
        <f t="shared" si="1"/>
        <v/>
      </c>
      <c r="D34" s="21"/>
      <c r="E34" s="22"/>
      <c r="F34" s="22"/>
      <c r="G34" s="22"/>
      <c r="H34" s="38" t="str">
        <f>IF(G34="","",IFERROR(VLOOKUP(G34,Rate!$A$4:$B$7,2,FALSE),""))</f>
        <v/>
      </c>
      <c r="I34" s="23"/>
      <c r="J34" s="39" t="str">
        <f t="shared" si="2"/>
        <v/>
      </c>
      <c r="K34" s="22"/>
      <c r="L34" s="22"/>
      <c r="M34" s="7" t="str">
        <f>IF(G34="","",IFERROR(IF(E34="ต่ออายุ",VLOOKUP(G34,Rate!$A$4:$E$7,5,FALSE),VLOOKUP(G34,Rate!$A$4:$C$7,3,FALSE)),""))</f>
        <v/>
      </c>
      <c r="N34" s="37" t="str">
        <f t="shared" si="3"/>
        <v/>
      </c>
      <c r="O34" s="22"/>
    </row>
    <row r="35" spans="1:15" x14ac:dyDescent="0.2">
      <c r="A35" s="2" t="str">
        <f t="shared" si="0"/>
        <v/>
      </c>
      <c r="B35" s="16"/>
      <c r="C35" s="2" t="str">
        <f t="shared" si="1"/>
        <v/>
      </c>
      <c r="D35" s="17"/>
      <c r="E35" s="18"/>
      <c r="F35" s="18"/>
      <c r="G35" s="18"/>
      <c r="H35" s="35" t="str">
        <f>IF(G35="","",IFERROR(VLOOKUP(G35,Rate!$A$4:$B$7,2,FALSE),""))</f>
        <v/>
      </c>
      <c r="I35" s="19"/>
      <c r="J35" s="36" t="str">
        <f t="shared" si="2"/>
        <v/>
      </c>
      <c r="K35" s="18"/>
      <c r="L35" s="18"/>
      <c r="M35" s="5" t="str">
        <f>IF(G35="","",IFERROR(IF(E35="ต่ออายุ",VLOOKUP(G35,Rate!$A$4:$E$7,5,FALSE),VLOOKUP(G35,Rate!$A$4:$C$7,3,FALSE)),""))</f>
        <v/>
      </c>
      <c r="N35" s="37" t="str">
        <f t="shared" si="3"/>
        <v/>
      </c>
      <c r="O35" s="18"/>
    </row>
    <row r="36" spans="1:15" x14ac:dyDescent="0.2">
      <c r="A36" s="6" t="str">
        <f t="shared" si="0"/>
        <v/>
      </c>
      <c r="B36" s="20"/>
      <c r="C36" s="6" t="str">
        <f t="shared" si="1"/>
        <v/>
      </c>
      <c r="D36" s="21"/>
      <c r="E36" s="22"/>
      <c r="F36" s="22"/>
      <c r="G36" s="22"/>
      <c r="H36" s="38" t="str">
        <f>IF(G36="","",IFERROR(VLOOKUP(G36,Rate!$A$4:$B$7,2,FALSE),""))</f>
        <v/>
      </c>
      <c r="I36" s="23"/>
      <c r="J36" s="39" t="str">
        <f t="shared" si="2"/>
        <v/>
      </c>
      <c r="K36" s="22"/>
      <c r="L36" s="22"/>
      <c r="M36" s="7" t="str">
        <f>IF(G36="","",IFERROR(IF(E36="ต่ออายุ",VLOOKUP(G36,Rate!$A$4:$E$7,5,FALSE),VLOOKUP(G36,Rate!$A$4:$C$7,3,FALSE)),""))</f>
        <v/>
      </c>
      <c r="N36" s="37" t="str">
        <f t="shared" si="3"/>
        <v/>
      </c>
      <c r="O36" s="22"/>
    </row>
    <row r="37" spans="1:15" x14ac:dyDescent="0.2">
      <c r="A37" s="2" t="str">
        <f t="shared" si="0"/>
        <v/>
      </c>
      <c r="B37" s="16"/>
      <c r="C37" s="2" t="str">
        <f t="shared" si="1"/>
        <v/>
      </c>
      <c r="D37" s="17"/>
      <c r="E37" s="18"/>
      <c r="F37" s="18"/>
      <c r="G37" s="18"/>
      <c r="H37" s="35" t="str">
        <f>IF(G37="","",IFERROR(VLOOKUP(G37,Rate!$A$4:$B$7,2,FALSE),""))</f>
        <v/>
      </c>
      <c r="I37" s="19"/>
      <c r="J37" s="36" t="str">
        <f t="shared" si="2"/>
        <v/>
      </c>
      <c r="K37" s="18"/>
      <c r="L37" s="18"/>
      <c r="M37" s="5" t="str">
        <f>IF(G37="","",IFERROR(IF(E37="ต่ออายุ",VLOOKUP(G37,Rate!$A$4:$E$7,5,FALSE),VLOOKUP(G37,Rate!$A$4:$C$7,3,FALSE)),""))</f>
        <v/>
      </c>
      <c r="N37" s="37" t="str">
        <f t="shared" si="3"/>
        <v/>
      </c>
      <c r="O37" s="18"/>
    </row>
    <row r="38" spans="1:15" x14ac:dyDescent="0.2">
      <c r="A38" s="6" t="str">
        <f t="shared" si="0"/>
        <v/>
      </c>
      <c r="B38" s="20"/>
      <c r="C38" s="6" t="str">
        <f t="shared" si="1"/>
        <v/>
      </c>
      <c r="D38" s="21"/>
      <c r="E38" s="22"/>
      <c r="F38" s="22"/>
      <c r="G38" s="22"/>
      <c r="H38" s="38" t="str">
        <f>IF(G38="","",IFERROR(VLOOKUP(G38,Rate!$A$4:$B$7,2,FALSE),""))</f>
        <v/>
      </c>
      <c r="I38" s="23"/>
      <c r="J38" s="39" t="str">
        <f t="shared" si="2"/>
        <v/>
      </c>
      <c r="K38" s="22"/>
      <c r="L38" s="22"/>
      <c r="M38" s="7" t="str">
        <f>IF(G38="","",IFERROR(IF(E38="ต่ออายุ",VLOOKUP(G38,Rate!$A$4:$E$7,5,FALSE),VLOOKUP(G38,Rate!$A$4:$C$7,3,FALSE)),""))</f>
        <v/>
      </c>
      <c r="N38" s="37" t="str">
        <f t="shared" si="3"/>
        <v/>
      </c>
      <c r="O38" s="22"/>
    </row>
    <row r="39" spans="1:15" x14ac:dyDescent="0.2">
      <c r="A39" s="2" t="str">
        <f t="shared" si="0"/>
        <v/>
      </c>
      <c r="B39" s="16"/>
      <c r="C39" s="2" t="str">
        <f t="shared" si="1"/>
        <v/>
      </c>
      <c r="D39" s="17"/>
      <c r="E39" s="18"/>
      <c r="F39" s="18"/>
      <c r="G39" s="18"/>
      <c r="H39" s="35" t="str">
        <f>IF(G39="","",IFERROR(VLOOKUP(G39,Rate!$A$4:$B$7,2,FALSE),""))</f>
        <v/>
      </c>
      <c r="I39" s="19"/>
      <c r="J39" s="36" t="str">
        <f t="shared" si="2"/>
        <v/>
      </c>
      <c r="K39" s="18"/>
      <c r="L39" s="18"/>
      <c r="M39" s="5" t="str">
        <f>IF(G39="","",IFERROR(IF(E39="ต่ออายุ",VLOOKUP(G39,Rate!$A$4:$E$7,5,FALSE),VLOOKUP(G39,Rate!$A$4:$C$7,3,FALSE)),""))</f>
        <v/>
      </c>
      <c r="N39" s="37" t="str">
        <f t="shared" si="3"/>
        <v/>
      </c>
      <c r="O39" s="18"/>
    </row>
    <row r="40" spans="1:15" x14ac:dyDescent="0.2">
      <c r="A40" s="6" t="str">
        <f t="shared" si="0"/>
        <v/>
      </c>
      <c r="B40" s="20"/>
      <c r="C40" s="6" t="str">
        <f t="shared" si="1"/>
        <v/>
      </c>
      <c r="D40" s="21"/>
      <c r="E40" s="22"/>
      <c r="F40" s="22"/>
      <c r="G40" s="22"/>
      <c r="H40" s="38" t="str">
        <f>IF(G40="","",IFERROR(VLOOKUP(G40,Rate!$A$4:$B$7,2,FALSE),""))</f>
        <v/>
      </c>
      <c r="I40" s="23"/>
      <c r="J40" s="39" t="str">
        <f t="shared" si="2"/>
        <v/>
      </c>
      <c r="K40" s="22"/>
      <c r="L40" s="22"/>
      <c r="M40" s="7" t="str">
        <f>IF(G40="","",IFERROR(IF(E40="ต่ออายุ",VLOOKUP(G40,Rate!$A$4:$E$7,5,FALSE),VLOOKUP(G40,Rate!$A$4:$C$7,3,FALSE)),""))</f>
        <v/>
      </c>
      <c r="N40" s="37" t="str">
        <f t="shared" si="3"/>
        <v/>
      </c>
      <c r="O40" s="22"/>
    </row>
    <row r="41" spans="1:15" x14ac:dyDescent="0.2">
      <c r="A41" s="2" t="str">
        <f t="shared" si="0"/>
        <v/>
      </c>
      <c r="B41" s="16"/>
      <c r="C41" s="2" t="str">
        <f t="shared" si="1"/>
        <v/>
      </c>
      <c r="D41" s="17"/>
      <c r="E41" s="18"/>
      <c r="F41" s="18"/>
      <c r="G41" s="18"/>
      <c r="H41" s="35" t="str">
        <f>IF(G41="","",IFERROR(VLOOKUP(G41,Rate!$A$4:$B$7,2,FALSE),""))</f>
        <v/>
      </c>
      <c r="I41" s="19"/>
      <c r="J41" s="36" t="str">
        <f t="shared" si="2"/>
        <v/>
      </c>
      <c r="K41" s="18"/>
      <c r="L41" s="18"/>
      <c r="M41" s="5" t="str">
        <f>IF(G41="","",IFERROR(IF(E41="ต่ออายุ",VLOOKUP(G41,Rate!$A$4:$E$7,5,FALSE),VLOOKUP(G41,Rate!$A$4:$C$7,3,FALSE)),""))</f>
        <v/>
      </c>
      <c r="N41" s="37" t="str">
        <f t="shared" si="3"/>
        <v/>
      </c>
      <c r="O41" s="18"/>
    </row>
    <row r="42" spans="1:15" x14ac:dyDescent="0.2">
      <c r="A42" s="6" t="str">
        <f t="shared" si="0"/>
        <v/>
      </c>
      <c r="B42" s="20"/>
      <c r="C42" s="6" t="str">
        <f t="shared" si="1"/>
        <v/>
      </c>
      <c r="D42" s="21"/>
      <c r="E42" s="22"/>
      <c r="F42" s="22"/>
      <c r="G42" s="22"/>
      <c r="H42" s="38" t="str">
        <f>IF(G42="","",IFERROR(VLOOKUP(G42,Rate!$A$4:$B$7,2,FALSE),""))</f>
        <v/>
      </c>
      <c r="I42" s="23"/>
      <c r="J42" s="39" t="str">
        <f t="shared" si="2"/>
        <v/>
      </c>
      <c r="K42" s="22"/>
      <c r="L42" s="22"/>
      <c r="M42" s="7" t="str">
        <f>IF(G42="","",IFERROR(IF(E42="ต่ออายุ",VLOOKUP(G42,Rate!$A$4:$E$7,5,FALSE),VLOOKUP(G42,Rate!$A$4:$C$7,3,FALSE)),""))</f>
        <v/>
      </c>
      <c r="N42" s="37" t="str">
        <f t="shared" si="3"/>
        <v/>
      </c>
      <c r="O42" s="22"/>
    </row>
    <row r="43" spans="1:15" x14ac:dyDescent="0.2">
      <c r="A43" s="2" t="str">
        <f t="shared" si="0"/>
        <v/>
      </c>
      <c r="B43" s="16"/>
      <c r="C43" s="2" t="str">
        <f t="shared" si="1"/>
        <v/>
      </c>
      <c r="D43" s="17"/>
      <c r="E43" s="18"/>
      <c r="F43" s="18"/>
      <c r="G43" s="18"/>
      <c r="H43" s="35" t="str">
        <f>IF(G43="","",IFERROR(VLOOKUP(G43,Rate!$A$4:$B$7,2,FALSE),""))</f>
        <v/>
      </c>
      <c r="I43" s="19"/>
      <c r="J43" s="36" t="str">
        <f t="shared" si="2"/>
        <v/>
      </c>
      <c r="K43" s="18"/>
      <c r="L43" s="18"/>
      <c r="M43" s="5" t="str">
        <f>IF(G43="","",IFERROR(IF(E43="ต่ออายุ",VLOOKUP(G43,Rate!$A$4:$E$7,5,FALSE),VLOOKUP(G43,Rate!$A$4:$C$7,3,FALSE)),""))</f>
        <v/>
      </c>
      <c r="N43" s="37" t="str">
        <f t="shared" si="3"/>
        <v/>
      </c>
      <c r="O43" s="18"/>
    </row>
    <row r="44" spans="1:15" x14ac:dyDescent="0.2">
      <c r="A44" s="6" t="str">
        <f t="shared" si="0"/>
        <v/>
      </c>
      <c r="B44" s="20"/>
      <c r="C44" s="6" t="str">
        <f t="shared" si="1"/>
        <v/>
      </c>
      <c r="D44" s="21"/>
      <c r="E44" s="22"/>
      <c r="F44" s="22"/>
      <c r="G44" s="22"/>
      <c r="H44" s="38" t="str">
        <f>IF(G44="","",IFERROR(VLOOKUP(G44,Rate!$A$4:$B$7,2,FALSE),""))</f>
        <v/>
      </c>
      <c r="I44" s="23"/>
      <c r="J44" s="39" t="str">
        <f t="shared" si="2"/>
        <v/>
      </c>
      <c r="K44" s="22"/>
      <c r="L44" s="22"/>
      <c r="M44" s="7" t="str">
        <f>IF(G44="","",IFERROR(IF(E44="ต่ออายุ",VLOOKUP(G44,Rate!$A$4:$E$7,5,FALSE),VLOOKUP(G44,Rate!$A$4:$C$7,3,FALSE)),""))</f>
        <v/>
      </c>
      <c r="N44" s="37" t="str">
        <f t="shared" si="3"/>
        <v/>
      </c>
      <c r="O44" s="22"/>
    </row>
    <row r="45" spans="1:15" x14ac:dyDescent="0.2">
      <c r="A45" s="2" t="str">
        <f t="shared" si="0"/>
        <v/>
      </c>
      <c r="B45" s="16"/>
      <c r="C45" s="2" t="str">
        <f t="shared" si="1"/>
        <v/>
      </c>
      <c r="D45" s="17"/>
      <c r="E45" s="18"/>
      <c r="F45" s="18"/>
      <c r="G45" s="18"/>
      <c r="H45" s="35" t="str">
        <f>IF(G45="","",IFERROR(VLOOKUP(G45,Rate!$A$4:$B$7,2,FALSE),""))</f>
        <v/>
      </c>
      <c r="I45" s="19"/>
      <c r="J45" s="36" t="str">
        <f t="shared" si="2"/>
        <v/>
      </c>
      <c r="K45" s="18"/>
      <c r="L45" s="18"/>
      <c r="M45" s="5" t="str">
        <f>IF(G45="","",IFERROR(IF(E45="ต่ออายุ",VLOOKUP(G45,Rate!$A$4:$E$7,5,FALSE),VLOOKUP(G45,Rate!$A$4:$C$7,3,FALSE)),""))</f>
        <v/>
      </c>
      <c r="N45" s="37" t="str">
        <f t="shared" si="3"/>
        <v/>
      </c>
      <c r="O45" s="18"/>
    </row>
    <row r="46" spans="1:15" x14ac:dyDescent="0.2">
      <c r="A46" s="6" t="str">
        <f t="shared" si="0"/>
        <v/>
      </c>
      <c r="B46" s="20"/>
      <c r="C46" s="6" t="str">
        <f t="shared" si="1"/>
        <v/>
      </c>
      <c r="D46" s="21"/>
      <c r="E46" s="22"/>
      <c r="F46" s="22"/>
      <c r="G46" s="22"/>
      <c r="H46" s="38" t="str">
        <f>IF(G46="","",IFERROR(VLOOKUP(G46,Rate!$A$4:$B$7,2,FALSE),""))</f>
        <v/>
      </c>
      <c r="I46" s="23"/>
      <c r="J46" s="39" t="str">
        <f t="shared" si="2"/>
        <v/>
      </c>
      <c r="K46" s="22"/>
      <c r="L46" s="22"/>
      <c r="M46" s="7" t="str">
        <f>IF(G46="","",IFERROR(IF(E46="ต่ออายุ",VLOOKUP(G46,Rate!$A$4:$E$7,5,FALSE),VLOOKUP(G46,Rate!$A$4:$C$7,3,FALSE)),""))</f>
        <v/>
      </c>
      <c r="N46" s="37" t="str">
        <f t="shared" si="3"/>
        <v/>
      </c>
      <c r="O46" s="22"/>
    </row>
    <row r="47" spans="1:15" x14ac:dyDescent="0.2">
      <c r="A47" s="2" t="str">
        <f t="shared" si="0"/>
        <v/>
      </c>
      <c r="B47" s="16"/>
      <c r="C47" s="2" t="str">
        <f t="shared" si="1"/>
        <v/>
      </c>
      <c r="D47" s="17"/>
      <c r="E47" s="18"/>
      <c r="F47" s="18"/>
      <c r="G47" s="18"/>
      <c r="H47" s="35" t="str">
        <f>IF(G47="","",IFERROR(VLOOKUP(G47,Rate!$A$4:$B$7,2,FALSE),""))</f>
        <v/>
      </c>
      <c r="I47" s="19"/>
      <c r="J47" s="36" t="str">
        <f t="shared" si="2"/>
        <v/>
      </c>
      <c r="K47" s="18"/>
      <c r="L47" s="18"/>
      <c r="M47" s="5" t="str">
        <f>IF(G47="","",IFERROR(IF(E47="ต่ออายุ",VLOOKUP(G47,Rate!$A$4:$E$7,5,FALSE),VLOOKUP(G47,Rate!$A$4:$C$7,3,FALSE)),""))</f>
        <v/>
      </c>
      <c r="N47" s="37" t="str">
        <f t="shared" si="3"/>
        <v/>
      </c>
      <c r="O47" s="18"/>
    </row>
    <row r="48" spans="1:15" x14ac:dyDescent="0.2">
      <c r="A48" s="6" t="str">
        <f t="shared" si="0"/>
        <v/>
      </c>
      <c r="B48" s="20"/>
      <c r="C48" s="6" t="str">
        <f t="shared" si="1"/>
        <v/>
      </c>
      <c r="D48" s="21"/>
      <c r="E48" s="22"/>
      <c r="F48" s="22"/>
      <c r="G48" s="22"/>
      <c r="H48" s="38" t="str">
        <f>IF(G48="","",IFERROR(VLOOKUP(G48,Rate!$A$4:$B$7,2,FALSE),""))</f>
        <v/>
      </c>
      <c r="I48" s="23"/>
      <c r="J48" s="39" t="str">
        <f t="shared" si="2"/>
        <v/>
      </c>
      <c r="K48" s="22"/>
      <c r="L48" s="22"/>
      <c r="M48" s="7" t="str">
        <f>IF(G48="","",IFERROR(IF(E48="ต่ออายุ",VLOOKUP(G48,Rate!$A$4:$E$7,5,FALSE),VLOOKUP(G48,Rate!$A$4:$C$7,3,FALSE)),""))</f>
        <v/>
      </c>
      <c r="N48" s="37" t="str">
        <f t="shared" si="3"/>
        <v/>
      </c>
      <c r="O48" s="22"/>
    </row>
    <row r="49" spans="1:15" x14ac:dyDescent="0.2">
      <c r="A49" s="2" t="str">
        <f t="shared" si="0"/>
        <v/>
      </c>
      <c r="B49" s="16"/>
      <c r="C49" s="2" t="str">
        <f t="shared" si="1"/>
        <v/>
      </c>
      <c r="D49" s="17"/>
      <c r="E49" s="18"/>
      <c r="F49" s="18"/>
      <c r="G49" s="18"/>
      <c r="H49" s="35" t="str">
        <f>IF(G49="","",IFERROR(VLOOKUP(G49,Rate!$A$4:$B$7,2,FALSE),""))</f>
        <v/>
      </c>
      <c r="I49" s="19"/>
      <c r="J49" s="36" t="str">
        <f t="shared" si="2"/>
        <v/>
      </c>
      <c r="K49" s="18"/>
      <c r="L49" s="18"/>
      <c r="M49" s="5" t="str">
        <f>IF(G49="","",IFERROR(IF(E49="ต่ออายุ",VLOOKUP(G49,Rate!$A$4:$E$7,5,FALSE),VLOOKUP(G49,Rate!$A$4:$C$7,3,FALSE)),""))</f>
        <v/>
      </c>
      <c r="N49" s="37" t="str">
        <f t="shared" si="3"/>
        <v/>
      </c>
      <c r="O49" s="18"/>
    </row>
    <row r="50" spans="1:15" x14ac:dyDescent="0.2">
      <c r="A50" s="6" t="str">
        <f t="shared" si="0"/>
        <v/>
      </c>
      <c r="B50" s="20"/>
      <c r="C50" s="6" t="str">
        <f t="shared" si="1"/>
        <v/>
      </c>
      <c r="D50" s="21"/>
      <c r="E50" s="22"/>
      <c r="F50" s="22"/>
      <c r="G50" s="22"/>
      <c r="H50" s="38" t="str">
        <f>IF(G50="","",IFERROR(VLOOKUP(G50,Rate!$A$4:$B$7,2,FALSE),""))</f>
        <v/>
      </c>
      <c r="I50" s="23"/>
      <c r="J50" s="39" t="str">
        <f t="shared" si="2"/>
        <v/>
      </c>
      <c r="K50" s="22"/>
      <c r="L50" s="22"/>
      <c r="M50" s="7" t="str">
        <f>IF(G50="","",IFERROR(IF(E50="ต่ออายุ",VLOOKUP(G50,Rate!$A$4:$E$7,5,FALSE),VLOOKUP(G50,Rate!$A$4:$C$7,3,FALSE)),""))</f>
        <v/>
      </c>
      <c r="N50" s="37" t="str">
        <f t="shared" si="3"/>
        <v/>
      </c>
      <c r="O50" s="22"/>
    </row>
    <row r="51" spans="1:15" x14ac:dyDescent="0.2">
      <c r="A51" s="2" t="str">
        <f t="shared" si="0"/>
        <v/>
      </c>
      <c r="B51" s="16"/>
      <c r="C51" s="2" t="str">
        <f t="shared" si="1"/>
        <v/>
      </c>
      <c r="D51" s="17"/>
      <c r="E51" s="18"/>
      <c r="F51" s="18"/>
      <c r="G51" s="18"/>
      <c r="H51" s="35" t="str">
        <f>IF(G51="","",IFERROR(VLOOKUP(G51,Rate!$A$4:$B$7,2,FALSE),""))</f>
        <v/>
      </c>
      <c r="I51" s="19"/>
      <c r="J51" s="36" t="str">
        <f t="shared" si="2"/>
        <v/>
      </c>
      <c r="K51" s="18"/>
      <c r="L51" s="18"/>
      <c r="M51" s="5" t="str">
        <f>IF(G51="","",IFERROR(IF(E51="ต่ออายุ",VLOOKUP(G51,Rate!$A$4:$E$7,5,FALSE),VLOOKUP(G51,Rate!$A$4:$C$7,3,FALSE)),""))</f>
        <v/>
      </c>
      <c r="N51" s="37" t="str">
        <f t="shared" si="3"/>
        <v/>
      </c>
      <c r="O51" s="18"/>
    </row>
    <row r="52" spans="1:15" x14ac:dyDescent="0.2">
      <c r="A52" s="6" t="str">
        <f t="shared" si="0"/>
        <v/>
      </c>
      <c r="B52" s="20"/>
      <c r="C52" s="6" t="str">
        <f t="shared" si="1"/>
        <v/>
      </c>
      <c r="D52" s="21"/>
      <c r="E52" s="22"/>
      <c r="F52" s="22"/>
      <c r="G52" s="22"/>
      <c r="H52" s="38" t="str">
        <f>IF(G52="","",IFERROR(VLOOKUP(G52,Rate!$A$4:$B$7,2,FALSE),""))</f>
        <v/>
      </c>
      <c r="I52" s="23"/>
      <c r="J52" s="39" t="str">
        <f t="shared" si="2"/>
        <v/>
      </c>
      <c r="K52" s="22"/>
      <c r="L52" s="22"/>
      <c r="M52" s="7" t="str">
        <f>IF(G52="","",IFERROR(IF(E52="ต่ออายุ",VLOOKUP(G52,Rate!$A$4:$E$7,5,FALSE),VLOOKUP(G52,Rate!$A$4:$C$7,3,FALSE)),""))</f>
        <v/>
      </c>
      <c r="N52" s="37" t="str">
        <f t="shared" si="3"/>
        <v/>
      </c>
      <c r="O52" s="22"/>
    </row>
    <row r="53" spans="1:15" ht="20" customHeight="1" x14ac:dyDescent="0.2">
      <c r="A53" s="40"/>
      <c r="B53" s="40"/>
      <c r="C53" s="40"/>
      <c r="D53" s="40"/>
      <c r="E53" s="40"/>
      <c r="F53" s="40"/>
      <c r="G53" s="41" t="s">
        <v>16</v>
      </c>
      <c r="H53" s="42">
        <f>SUM(H13:H52)</f>
        <v>15588</v>
      </c>
      <c r="I53" s="40"/>
      <c r="J53" s="42">
        <f>SUM(J13:J52)</f>
        <v>15588</v>
      </c>
      <c r="L53" s="40"/>
      <c r="M53" s="40"/>
      <c r="N53" s="42">
        <f>SUM(M13:M52)</f>
        <v>0.1</v>
      </c>
      <c r="O53" s="40"/>
    </row>
    <row r="55" spans="1:15" ht="18" customHeight="1" x14ac:dyDescent="0.2">
      <c r="A55" s="60" t="s">
        <v>43</v>
      </c>
      <c r="B55" s="61"/>
      <c r="C55" s="61"/>
      <c r="D55" s="61"/>
      <c r="E55" s="61"/>
      <c r="F55" s="61"/>
      <c r="G55" s="61"/>
      <c r="H55" s="61"/>
      <c r="I55" s="61"/>
    </row>
    <row r="56" spans="1:15" ht="15" customHeight="1" x14ac:dyDescent="0.2">
      <c r="A56" s="58" t="s">
        <v>44</v>
      </c>
      <c r="B56" s="59"/>
      <c r="C56" s="59"/>
      <c r="D56" s="59"/>
      <c r="E56" s="59"/>
      <c r="F56" s="59"/>
      <c r="G56" s="59"/>
      <c r="H56" s="59"/>
      <c r="I56" s="59"/>
    </row>
    <row r="57" spans="1:15" ht="15" customHeight="1" x14ac:dyDescent="0.2">
      <c r="A57" s="58" t="s">
        <v>45</v>
      </c>
      <c r="B57" s="59"/>
      <c r="C57" s="59"/>
      <c r="D57" s="59"/>
      <c r="E57" s="59"/>
      <c r="F57" s="59"/>
      <c r="G57" s="59"/>
      <c r="H57" s="59"/>
      <c r="I57" s="59"/>
    </row>
    <row r="58" spans="1:15" ht="15" customHeight="1" x14ac:dyDescent="0.2">
      <c r="A58" s="58" t="s">
        <v>46</v>
      </c>
      <c r="B58" s="59"/>
      <c r="C58" s="59"/>
      <c r="D58" s="59"/>
      <c r="E58" s="59"/>
      <c r="F58" s="59"/>
      <c r="G58" s="59"/>
      <c r="H58" s="59"/>
      <c r="I58" s="59"/>
    </row>
    <row r="59" spans="1:15" ht="15" customHeight="1" x14ac:dyDescent="0.2">
      <c r="A59" s="58" t="s">
        <v>47</v>
      </c>
      <c r="B59" s="59"/>
      <c r="C59" s="59"/>
      <c r="D59" s="59"/>
      <c r="E59" s="59"/>
      <c r="F59" s="59"/>
      <c r="G59" s="59"/>
      <c r="H59" s="59"/>
      <c r="I59" s="59"/>
    </row>
    <row r="60" spans="1:15" ht="15" customHeight="1" x14ac:dyDescent="0.2">
      <c r="A60" s="58" t="s">
        <v>48</v>
      </c>
      <c r="B60" s="59"/>
      <c r="C60" s="59"/>
      <c r="D60" s="59"/>
      <c r="E60" s="59"/>
      <c r="F60" s="59"/>
      <c r="G60" s="59"/>
      <c r="H60" s="59"/>
      <c r="I60" s="59"/>
    </row>
    <row r="61" spans="1:15" ht="15" customHeight="1" x14ac:dyDescent="0.2">
      <c r="A61" s="58" t="s">
        <v>49</v>
      </c>
      <c r="B61" s="59"/>
      <c r="C61" s="59"/>
      <c r="D61" s="59"/>
      <c r="E61" s="59"/>
      <c r="F61" s="59"/>
      <c r="G61" s="59"/>
      <c r="H61" s="59"/>
      <c r="I61" s="59"/>
    </row>
  </sheetData>
  <sheetProtection sheet="1"/>
  <mergeCells count="28">
    <mergeCell ref="A60:I60"/>
    <mergeCell ref="L4:O4"/>
    <mergeCell ref="G8:I8"/>
    <mergeCell ref="A61:I61"/>
    <mergeCell ref="G7:I7"/>
    <mergeCell ref="A58:I58"/>
    <mergeCell ref="A1:B2"/>
    <mergeCell ref="A59:I59"/>
    <mergeCell ref="A4:E4"/>
    <mergeCell ref="A11:C11"/>
    <mergeCell ref="A57:I57"/>
    <mergeCell ref="C1:J1"/>
    <mergeCell ref="L2:O2"/>
    <mergeCell ref="G4:I4"/>
    <mergeCell ref="G11"/>
    <mergeCell ref="L8:M8"/>
    <mergeCell ref="N8:O8"/>
    <mergeCell ref="E11:F11"/>
    <mergeCell ref="C2:J2"/>
    <mergeCell ref="K11:N11"/>
    <mergeCell ref="D11"/>
    <mergeCell ref="L1:O1"/>
    <mergeCell ref="L7:M7"/>
    <mergeCell ref="N7:O7"/>
    <mergeCell ref="O11"/>
    <mergeCell ref="A56:I56"/>
    <mergeCell ref="A55:I55"/>
    <mergeCell ref="H11:J11"/>
  </mergeCells>
  <dataValidations count="5">
    <dataValidation type="list" allowBlank="1" sqref="E13:E52" xr:uid="{00000000-0002-0000-0000-000000000000}">
      <formula1>"ใหม่,ต่ออายุ"</formula1>
    </dataValidation>
    <dataValidation type="list" allowBlank="1" sqref="F13:F52" xr:uid="{00000000-0002-0000-0000-000001000000}">
      <formula1>"จ่ายแล้ว,รอจ่าย,รอเงินลูกค้า,ยกเลิก"</formula1>
    </dataValidation>
    <dataValidation type="list" allowBlank="1" sqref="G13:G52" xr:uid="{00000000-0002-0000-0000-000002000000}">
      <formula1>"Starter,Plus,Premium,Enterprise"</formula1>
    </dataValidation>
    <dataValidation type="list" allowBlank="1" sqref="K13:K52" xr:uid="{00000000-0002-0000-0000-000003000000}">
      <formula1>"รายคน,ทีม"</formula1>
    </dataValidation>
    <dataValidation type="list" allowBlank="1" sqref="O13:O52" xr:uid="{00000000-0002-0000-0000-000005000000}">
      <formula1>"รอจ่าย,จ่ายแล้ว"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4000000}">
          <x14:formula1>
            <xm:f>ทีมขาย!$A$6:$A$20</xm:f>
          </x14:formula1>
          <xm:sqref>L13:L52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9"/>
  <sheetViews>
    <sheetView showGridLines="0" zoomScale="132" zoomScaleNormal="132" workbookViewId="0">
      <pane ySplit="5" topLeftCell="A6" activePane="bottomLeft" state="frozen"/>
      <selection pane="bottomLeft" activeCell="H38" sqref="H38"/>
    </sheetView>
  </sheetViews>
  <sheetFormatPr baseColWidth="10" defaultColWidth="8.83203125" defaultRowHeight="15" x14ac:dyDescent="0.2"/>
  <cols>
    <col min="1" max="1" width="16" customWidth="1"/>
    <col min="2" max="2" width="18" customWidth="1"/>
    <col min="3" max="3" width="14" customWidth="1"/>
    <col min="4" max="4" width="11" customWidth="1"/>
    <col min="5" max="5" width="14" customWidth="1"/>
    <col min="6" max="6" width="15" customWidth="1"/>
    <col min="7" max="8" width="14" customWidth="1"/>
  </cols>
  <sheetData>
    <row r="1" spans="1:8" ht="26" customHeight="1" x14ac:dyDescent="0.2">
      <c r="A1" s="69" t="s">
        <v>0</v>
      </c>
      <c r="B1" s="59"/>
      <c r="C1" s="64" t="s">
        <v>50</v>
      </c>
      <c r="D1" s="59"/>
      <c r="E1" s="59"/>
      <c r="F1" s="59"/>
      <c r="G1" s="59"/>
      <c r="H1" s="59"/>
    </row>
    <row r="2" spans="1:8" ht="18" customHeight="1" x14ac:dyDescent="0.2">
      <c r="A2" s="59"/>
      <c r="B2" s="59"/>
      <c r="C2" s="68" t="s">
        <v>51</v>
      </c>
      <c r="D2" s="59"/>
      <c r="E2" s="59"/>
      <c r="F2" s="59"/>
      <c r="G2" s="59"/>
      <c r="H2" s="59"/>
    </row>
    <row r="3" spans="1:8" ht="16" customHeight="1" x14ac:dyDescent="0.2">
      <c r="A3" s="76" t="s">
        <v>52</v>
      </c>
      <c r="B3" s="59"/>
      <c r="C3" s="59"/>
      <c r="D3" s="59"/>
      <c r="E3" s="59"/>
      <c r="F3" s="59"/>
      <c r="G3" s="59"/>
      <c r="H3" s="59"/>
    </row>
    <row r="5" spans="1:8" ht="36" customHeight="1" x14ac:dyDescent="0.2">
      <c r="A5" s="43" t="s">
        <v>53</v>
      </c>
      <c r="B5" s="43" t="s">
        <v>54</v>
      </c>
      <c r="C5" s="43" t="s">
        <v>55</v>
      </c>
      <c r="D5" s="43" t="s">
        <v>56</v>
      </c>
      <c r="E5" s="43" t="s">
        <v>25</v>
      </c>
      <c r="F5" s="43" t="s">
        <v>57</v>
      </c>
      <c r="G5" s="43" t="s">
        <v>58</v>
      </c>
      <c r="H5" s="43" t="s">
        <v>59</v>
      </c>
    </row>
    <row r="6" spans="1:8" x14ac:dyDescent="0.2">
      <c r="A6" s="24" t="s">
        <v>60</v>
      </c>
      <c r="B6" s="25" t="s">
        <v>61</v>
      </c>
      <c r="C6" s="44">
        <v>0.5</v>
      </c>
      <c r="D6" s="45">
        <f>IF($A6="","",COUNTIFS(Sales_Record!$L$13:$L$52,$A6,Sales_Record!$K$13:$K$52,"รายคน"))</f>
        <v>0</v>
      </c>
      <c r="E6" s="46">
        <f>IF($A6="","",SUMIFS(Sales_Record!$J$13:$J$52,Sales_Record!$L$13:$L$52,$A6,Sales_Record!$K$13:$K$52,"รายคน")+$C6*SUMIF(Sales_Record!$K$13:$K$52,"ทีม",Sales_Record!$J$13:$J$52))</f>
        <v>7794</v>
      </c>
      <c r="F6" s="47">
        <f>IF($A6="","",SUMIFS(Sales_Record!$N$13:$N$52,Sales_Record!$L$13:$L$52,$A6,Sales_Record!$K$13:$K$52,"รายคน")+$C6*SUMIF(Sales_Record!$K$13:$K$52,"ทีม",Sales_Record!$N$13:$N$52))</f>
        <v>779.40000000000009</v>
      </c>
      <c r="G6" s="46">
        <f>IF($A6="","",SUMIFS(Sales_Record!$N$13:$N$52,Sales_Record!$L$13:$L$52,$A6,Sales_Record!$K$13:$K$52,"รายคน",Sales_Record!$O$13:$O$52,"จ่ายแล้ว")+$C6*SUMIFS(Sales_Record!$N$13:$N$52,Sales_Record!$K$13:$K$52,"ทีม",Sales_Record!$O$13:$O$52,"จ่ายแล้ว"))</f>
        <v>779.40000000000009</v>
      </c>
      <c r="H6" s="46">
        <f t="shared" ref="H6:H20" si="0">IF($A6="","",F6-G6)</f>
        <v>0</v>
      </c>
    </row>
    <row r="7" spans="1:8" x14ac:dyDescent="0.2">
      <c r="A7" s="24" t="s">
        <v>62</v>
      </c>
      <c r="B7" s="25" t="s">
        <v>61</v>
      </c>
      <c r="C7" s="44">
        <v>0.3</v>
      </c>
      <c r="D7" s="45">
        <f>IF($A7="","",COUNTIFS(Sales_Record!$L$13:$L$52,$A7,Sales_Record!$K$13:$K$52,"รายคน"))</f>
        <v>0</v>
      </c>
      <c r="E7" s="46">
        <f>IF($A7="","",SUMIFS(Sales_Record!$J$13:$J$52,Sales_Record!$L$13:$L$52,$A7,Sales_Record!$K$13:$K$52,"รายคน")+$C7*SUMIF(Sales_Record!$K$13:$K$52,"ทีม",Sales_Record!$J$13:$J$52))</f>
        <v>4676.3999999999996</v>
      </c>
      <c r="F7" s="47">
        <f>IF($A7="","",SUMIFS(Sales_Record!$N$13:$N$52,Sales_Record!$L$13:$L$52,$A7,Sales_Record!$K$13:$K$52,"รายคน")+$C7*SUMIF(Sales_Record!$K$13:$K$52,"ทีม",Sales_Record!$N$13:$N$52))</f>
        <v>467.64000000000004</v>
      </c>
      <c r="G7" s="46">
        <f>IF($A7="","",SUMIFS(Sales_Record!$N$13:$N$52,Sales_Record!$L$13:$L$52,$A7,Sales_Record!$K$13:$K$52,"รายคน",Sales_Record!$O$13:$O$52,"จ่ายแล้ว")+$C7*SUMIFS(Sales_Record!$N$13:$N$52,Sales_Record!$K$13:$K$52,"ทีม",Sales_Record!$O$13:$O$52,"จ่ายแล้ว"))</f>
        <v>467.64000000000004</v>
      </c>
      <c r="H7" s="46">
        <f t="shared" si="0"/>
        <v>0</v>
      </c>
    </row>
    <row r="8" spans="1:8" x14ac:dyDescent="0.2">
      <c r="A8" s="24" t="s">
        <v>63</v>
      </c>
      <c r="B8" s="25" t="s">
        <v>64</v>
      </c>
      <c r="C8" s="44">
        <v>0.2</v>
      </c>
      <c r="D8" s="45">
        <f>IF($A8="","",COUNTIFS(Sales_Record!$L$13:$L$52,$A8,Sales_Record!$K$13:$K$52,"รายคน"))</f>
        <v>0</v>
      </c>
      <c r="E8" s="46">
        <f>IF($A8="","",SUMIFS(Sales_Record!$J$13:$J$52,Sales_Record!$L$13:$L$52,$A8,Sales_Record!$K$13:$K$52,"รายคน")+$C8*SUMIF(Sales_Record!$K$13:$K$52,"ทีม",Sales_Record!$J$13:$J$52))</f>
        <v>3117.6000000000004</v>
      </c>
      <c r="F8" s="47">
        <f>IF($A8="","",SUMIFS(Sales_Record!$N$13:$N$52,Sales_Record!$L$13:$L$52,$A8,Sales_Record!$K$13:$K$52,"รายคน")+$C8*SUMIF(Sales_Record!$K$13:$K$52,"ทีม",Sales_Record!$N$13:$N$52))</f>
        <v>311.76000000000005</v>
      </c>
      <c r="G8" s="46">
        <f>IF($A8="","",SUMIFS(Sales_Record!$N$13:$N$52,Sales_Record!$L$13:$L$52,$A8,Sales_Record!$K$13:$K$52,"รายคน",Sales_Record!$O$13:$O$52,"จ่ายแล้ว")+$C8*SUMIFS(Sales_Record!$N$13:$N$52,Sales_Record!$K$13:$K$52,"ทีม",Sales_Record!$O$13:$O$52,"จ่ายแล้ว"))</f>
        <v>311.76000000000005</v>
      </c>
      <c r="H8" s="46">
        <f t="shared" si="0"/>
        <v>0</v>
      </c>
    </row>
    <row r="9" spans="1:8" x14ac:dyDescent="0.2">
      <c r="A9" s="24"/>
      <c r="B9" s="25"/>
      <c r="C9" s="44"/>
      <c r="D9" s="45" t="str">
        <f>IF($A9="","",COUNTIFS(Sales_Record!$L$13:$L$52,$A9,Sales_Record!$K$13:$K$52,"รายคน"))</f>
        <v/>
      </c>
      <c r="E9" s="46" t="str">
        <f>IF($A9="","",SUMIFS(Sales_Record!$J$13:$J$52,Sales_Record!$L$13:$L$52,$A9,Sales_Record!$K$13:$K$52,"รายคน")+$C9*SUMIF(Sales_Record!$K$13:$K$52,"ทีม",Sales_Record!$J$13:$J$52))</f>
        <v/>
      </c>
      <c r="F9" s="47" t="str">
        <f>IF($A9="","",SUMIFS(Sales_Record!$N$13:$N$52,Sales_Record!$L$13:$L$52,$A9,Sales_Record!$K$13:$K$52,"รายคน")+$C9*SUMIF(Sales_Record!$K$13:$K$52,"ทีม",Sales_Record!$N$13:$N$52))</f>
        <v/>
      </c>
      <c r="G9" s="46" t="str">
        <f>IF($A9="","",SUMIFS(Sales_Record!$N$13:$N$52,Sales_Record!$L$13:$L$52,$A9,Sales_Record!$K$13:$K$52,"รายคน",Sales_Record!$O$13:$O$52,"จ่ายแล้ว")+$C9*SUMIFS(Sales_Record!$N$13:$N$52,Sales_Record!$K$13:$K$52,"ทีม",Sales_Record!$O$13:$O$52,"จ่ายแล้ว"))</f>
        <v/>
      </c>
      <c r="H9" s="46" t="str">
        <f t="shared" si="0"/>
        <v/>
      </c>
    </row>
    <row r="10" spans="1:8" x14ac:dyDescent="0.2">
      <c r="A10" s="24"/>
      <c r="B10" s="25"/>
      <c r="C10" s="44"/>
      <c r="D10" s="45" t="str">
        <f>IF($A10="","",COUNTIFS(Sales_Record!$L$13:$L$52,$A10,Sales_Record!$K$13:$K$52,"รายคน"))</f>
        <v/>
      </c>
      <c r="E10" s="46" t="str">
        <f>IF($A10="","",SUMIFS(Sales_Record!$J$13:$J$52,Sales_Record!$L$13:$L$52,$A10,Sales_Record!$K$13:$K$52,"รายคน")+$C10*SUMIF(Sales_Record!$K$13:$K$52,"ทีม",Sales_Record!$J$13:$J$52))</f>
        <v/>
      </c>
      <c r="F10" s="47" t="str">
        <f>IF($A10="","",SUMIFS(Sales_Record!$N$13:$N$52,Sales_Record!$L$13:$L$52,$A10,Sales_Record!$K$13:$K$52,"รายคน")+$C10*SUMIF(Sales_Record!$K$13:$K$52,"ทีม",Sales_Record!$N$13:$N$52))</f>
        <v/>
      </c>
      <c r="G10" s="46" t="str">
        <f>IF($A10="","",SUMIFS(Sales_Record!$N$13:$N$52,Sales_Record!$L$13:$L$52,$A10,Sales_Record!$K$13:$K$52,"รายคน",Sales_Record!$O$13:$O$52,"จ่ายแล้ว")+$C10*SUMIFS(Sales_Record!$N$13:$N$52,Sales_Record!$K$13:$K$52,"ทีม",Sales_Record!$O$13:$O$52,"จ่ายแล้ว"))</f>
        <v/>
      </c>
      <c r="H10" s="46" t="str">
        <f t="shared" si="0"/>
        <v/>
      </c>
    </row>
    <row r="11" spans="1:8" x14ac:dyDescent="0.2">
      <c r="A11" s="24"/>
      <c r="B11" s="25"/>
      <c r="C11" s="44"/>
      <c r="D11" s="45" t="str">
        <f>IF($A11="","",COUNTIFS(Sales_Record!$L$13:$L$52,$A11,Sales_Record!$K$13:$K$52,"รายคน"))</f>
        <v/>
      </c>
      <c r="E11" s="46" t="str">
        <f>IF($A11="","",SUMIFS(Sales_Record!$J$13:$J$52,Sales_Record!$L$13:$L$52,$A11,Sales_Record!$K$13:$K$52,"รายคน")+$C11*SUMIF(Sales_Record!$K$13:$K$52,"ทีม",Sales_Record!$J$13:$J$52))</f>
        <v/>
      </c>
      <c r="F11" s="47" t="str">
        <f>IF($A11="","",SUMIFS(Sales_Record!$N$13:$N$52,Sales_Record!$L$13:$L$52,$A11,Sales_Record!$K$13:$K$52,"รายคน")+$C11*SUMIF(Sales_Record!$K$13:$K$52,"ทีม",Sales_Record!$N$13:$N$52))</f>
        <v/>
      </c>
      <c r="G11" s="46" t="str">
        <f>IF($A11="","",SUMIFS(Sales_Record!$N$13:$N$52,Sales_Record!$L$13:$L$52,$A11,Sales_Record!$K$13:$K$52,"รายคน",Sales_Record!$O$13:$O$52,"จ่ายแล้ว")+$C11*SUMIFS(Sales_Record!$N$13:$N$52,Sales_Record!$K$13:$K$52,"ทีม",Sales_Record!$O$13:$O$52,"จ่ายแล้ว"))</f>
        <v/>
      </c>
      <c r="H11" s="46" t="str">
        <f t="shared" si="0"/>
        <v/>
      </c>
    </row>
    <row r="12" spans="1:8" x14ac:dyDescent="0.2">
      <c r="A12" s="24"/>
      <c r="B12" s="25"/>
      <c r="C12" s="44"/>
      <c r="D12" s="45" t="str">
        <f>IF($A12="","",COUNTIFS(Sales_Record!$L$13:$L$52,$A12,Sales_Record!$K$13:$K$52,"รายคน"))</f>
        <v/>
      </c>
      <c r="E12" s="46" t="str">
        <f>IF($A12="","",SUMIFS(Sales_Record!$J$13:$J$52,Sales_Record!$L$13:$L$52,$A12,Sales_Record!$K$13:$K$52,"รายคน")+$C12*SUMIF(Sales_Record!$K$13:$K$52,"ทีม",Sales_Record!$J$13:$J$52))</f>
        <v/>
      </c>
      <c r="F12" s="47" t="str">
        <f>IF($A12="","",SUMIFS(Sales_Record!$N$13:$N$52,Sales_Record!$L$13:$L$52,$A12,Sales_Record!$K$13:$K$52,"รายคน")+$C12*SUMIF(Sales_Record!$K$13:$K$52,"ทีม",Sales_Record!$N$13:$N$52))</f>
        <v/>
      </c>
      <c r="G12" s="46" t="str">
        <f>IF($A12="","",SUMIFS(Sales_Record!$N$13:$N$52,Sales_Record!$L$13:$L$52,$A12,Sales_Record!$K$13:$K$52,"รายคน",Sales_Record!$O$13:$O$52,"จ่ายแล้ว")+$C12*SUMIFS(Sales_Record!$N$13:$N$52,Sales_Record!$K$13:$K$52,"ทีม",Sales_Record!$O$13:$O$52,"จ่ายแล้ว"))</f>
        <v/>
      </c>
      <c r="H12" s="46" t="str">
        <f t="shared" si="0"/>
        <v/>
      </c>
    </row>
    <row r="13" spans="1:8" x14ac:dyDescent="0.2">
      <c r="A13" s="24"/>
      <c r="B13" s="25"/>
      <c r="C13" s="44"/>
      <c r="D13" s="45" t="str">
        <f>IF($A13="","",COUNTIFS(Sales_Record!$L$13:$L$52,$A13,Sales_Record!$K$13:$K$52,"รายคน"))</f>
        <v/>
      </c>
      <c r="E13" s="46" t="str">
        <f>IF($A13="","",SUMIFS(Sales_Record!$J$13:$J$52,Sales_Record!$L$13:$L$52,$A13,Sales_Record!$K$13:$K$52,"รายคน")+$C13*SUMIF(Sales_Record!$K$13:$K$52,"ทีม",Sales_Record!$J$13:$J$52))</f>
        <v/>
      </c>
      <c r="F13" s="47" t="str">
        <f>IF($A13="","",SUMIFS(Sales_Record!$N$13:$N$52,Sales_Record!$L$13:$L$52,$A13,Sales_Record!$K$13:$K$52,"รายคน")+$C13*SUMIF(Sales_Record!$K$13:$K$52,"ทีม",Sales_Record!$N$13:$N$52))</f>
        <v/>
      </c>
      <c r="G13" s="46" t="str">
        <f>IF($A13="","",SUMIFS(Sales_Record!$N$13:$N$52,Sales_Record!$L$13:$L$52,$A13,Sales_Record!$K$13:$K$52,"รายคน",Sales_Record!$O$13:$O$52,"จ่ายแล้ว")+$C13*SUMIFS(Sales_Record!$N$13:$N$52,Sales_Record!$K$13:$K$52,"ทีม",Sales_Record!$O$13:$O$52,"จ่ายแล้ว"))</f>
        <v/>
      </c>
      <c r="H13" s="46" t="str">
        <f t="shared" si="0"/>
        <v/>
      </c>
    </row>
    <row r="14" spans="1:8" x14ac:dyDescent="0.2">
      <c r="A14" s="24"/>
      <c r="B14" s="25"/>
      <c r="C14" s="44"/>
      <c r="D14" s="45" t="str">
        <f>IF($A14="","",COUNTIFS(Sales_Record!$L$13:$L$52,$A14,Sales_Record!$K$13:$K$52,"รายคน"))</f>
        <v/>
      </c>
      <c r="E14" s="46" t="str">
        <f>IF($A14="","",SUMIFS(Sales_Record!$J$13:$J$52,Sales_Record!$L$13:$L$52,$A14,Sales_Record!$K$13:$K$52,"รายคน")+$C14*SUMIF(Sales_Record!$K$13:$K$52,"ทีม",Sales_Record!$J$13:$J$52))</f>
        <v/>
      </c>
      <c r="F14" s="47" t="str">
        <f>IF($A14="","",SUMIFS(Sales_Record!$N$13:$N$52,Sales_Record!$L$13:$L$52,$A14,Sales_Record!$K$13:$K$52,"รายคน")+$C14*SUMIF(Sales_Record!$K$13:$K$52,"ทีม",Sales_Record!$N$13:$N$52))</f>
        <v/>
      </c>
      <c r="G14" s="46" t="str">
        <f>IF($A14="","",SUMIFS(Sales_Record!$N$13:$N$52,Sales_Record!$L$13:$L$52,$A14,Sales_Record!$K$13:$K$52,"รายคน",Sales_Record!$O$13:$O$52,"จ่ายแล้ว")+$C14*SUMIFS(Sales_Record!$N$13:$N$52,Sales_Record!$K$13:$K$52,"ทีม",Sales_Record!$O$13:$O$52,"จ่ายแล้ว"))</f>
        <v/>
      </c>
      <c r="H14" s="46" t="str">
        <f t="shared" si="0"/>
        <v/>
      </c>
    </row>
    <row r="15" spans="1:8" x14ac:dyDescent="0.2">
      <c r="A15" s="24"/>
      <c r="B15" s="25"/>
      <c r="C15" s="44"/>
      <c r="D15" s="45" t="str">
        <f>IF($A15="","",COUNTIFS(Sales_Record!$L$13:$L$52,$A15,Sales_Record!$K$13:$K$52,"รายคน"))</f>
        <v/>
      </c>
      <c r="E15" s="46" t="str">
        <f>IF($A15="","",SUMIFS(Sales_Record!$J$13:$J$52,Sales_Record!$L$13:$L$52,$A15,Sales_Record!$K$13:$K$52,"รายคน")+$C15*SUMIF(Sales_Record!$K$13:$K$52,"ทีม",Sales_Record!$J$13:$J$52))</f>
        <v/>
      </c>
      <c r="F15" s="47" t="str">
        <f>IF($A15="","",SUMIFS(Sales_Record!$N$13:$N$52,Sales_Record!$L$13:$L$52,$A15,Sales_Record!$K$13:$K$52,"รายคน")+$C15*SUMIF(Sales_Record!$K$13:$K$52,"ทีม",Sales_Record!$N$13:$N$52))</f>
        <v/>
      </c>
      <c r="G15" s="46" t="str">
        <f>IF($A15="","",SUMIFS(Sales_Record!$N$13:$N$52,Sales_Record!$L$13:$L$52,$A15,Sales_Record!$K$13:$K$52,"รายคน",Sales_Record!$O$13:$O$52,"จ่ายแล้ว")+$C15*SUMIFS(Sales_Record!$N$13:$N$52,Sales_Record!$K$13:$K$52,"ทีม",Sales_Record!$O$13:$O$52,"จ่ายแล้ว"))</f>
        <v/>
      </c>
      <c r="H15" s="46" t="str">
        <f t="shared" si="0"/>
        <v/>
      </c>
    </row>
    <row r="16" spans="1:8" x14ac:dyDescent="0.2">
      <c r="A16" s="24"/>
      <c r="B16" s="25"/>
      <c r="C16" s="44"/>
      <c r="D16" s="45" t="str">
        <f>IF($A16="","",COUNTIFS(Sales_Record!$L$13:$L$52,$A16,Sales_Record!$K$13:$K$52,"รายคน"))</f>
        <v/>
      </c>
      <c r="E16" s="46" t="str">
        <f>IF($A16="","",SUMIFS(Sales_Record!$J$13:$J$52,Sales_Record!$L$13:$L$52,$A16,Sales_Record!$K$13:$K$52,"รายคน")+$C16*SUMIF(Sales_Record!$K$13:$K$52,"ทีม",Sales_Record!$J$13:$J$52))</f>
        <v/>
      </c>
      <c r="F16" s="47" t="str">
        <f>IF($A16="","",SUMIFS(Sales_Record!$N$13:$N$52,Sales_Record!$L$13:$L$52,$A16,Sales_Record!$K$13:$K$52,"รายคน")+$C16*SUMIF(Sales_Record!$K$13:$K$52,"ทีม",Sales_Record!$N$13:$N$52))</f>
        <v/>
      </c>
      <c r="G16" s="46" t="str">
        <f>IF($A16="","",SUMIFS(Sales_Record!$N$13:$N$52,Sales_Record!$L$13:$L$52,$A16,Sales_Record!$K$13:$K$52,"รายคน",Sales_Record!$O$13:$O$52,"จ่ายแล้ว")+$C16*SUMIFS(Sales_Record!$N$13:$N$52,Sales_Record!$K$13:$K$52,"ทีม",Sales_Record!$O$13:$O$52,"จ่ายแล้ว"))</f>
        <v/>
      </c>
      <c r="H16" s="46" t="str">
        <f t="shared" si="0"/>
        <v/>
      </c>
    </row>
    <row r="17" spans="1:8" x14ac:dyDescent="0.2">
      <c r="A17" s="24"/>
      <c r="B17" s="25"/>
      <c r="C17" s="44"/>
      <c r="D17" s="45" t="str">
        <f>IF($A17="","",COUNTIFS(Sales_Record!$L$13:$L$52,$A17,Sales_Record!$K$13:$K$52,"รายคน"))</f>
        <v/>
      </c>
      <c r="E17" s="46" t="str">
        <f>IF($A17="","",SUMIFS(Sales_Record!$J$13:$J$52,Sales_Record!$L$13:$L$52,$A17,Sales_Record!$K$13:$K$52,"รายคน")+$C17*SUMIF(Sales_Record!$K$13:$K$52,"ทีม",Sales_Record!$J$13:$J$52))</f>
        <v/>
      </c>
      <c r="F17" s="47" t="str">
        <f>IF($A17="","",SUMIFS(Sales_Record!$N$13:$N$52,Sales_Record!$L$13:$L$52,$A17,Sales_Record!$K$13:$K$52,"รายคน")+$C17*SUMIF(Sales_Record!$K$13:$K$52,"ทีม",Sales_Record!$N$13:$N$52))</f>
        <v/>
      </c>
      <c r="G17" s="46" t="str">
        <f>IF($A17="","",SUMIFS(Sales_Record!$N$13:$N$52,Sales_Record!$L$13:$L$52,$A17,Sales_Record!$K$13:$K$52,"รายคน",Sales_Record!$O$13:$O$52,"จ่ายแล้ว")+$C17*SUMIFS(Sales_Record!$N$13:$N$52,Sales_Record!$K$13:$K$52,"ทีม",Sales_Record!$O$13:$O$52,"จ่ายแล้ว"))</f>
        <v/>
      </c>
      <c r="H17" s="46" t="str">
        <f t="shared" si="0"/>
        <v/>
      </c>
    </row>
    <row r="18" spans="1:8" x14ac:dyDescent="0.2">
      <c r="A18" s="24"/>
      <c r="B18" s="25"/>
      <c r="C18" s="44"/>
      <c r="D18" s="45" t="str">
        <f>IF($A18="","",COUNTIFS(Sales_Record!$L$13:$L$52,$A18,Sales_Record!$K$13:$K$52,"รายคน"))</f>
        <v/>
      </c>
      <c r="E18" s="46" t="str">
        <f>IF($A18="","",SUMIFS(Sales_Record!$J$13:$J$52,Sales_Record!$L$13:$L$52,$A18,Sales_Record!$K$13:$K$52,"รายคน")+$C18*SUMIF(Sales_Record!$K$13:$K$52,"ทีม",Sales_Record!$J$13:$J$52))</f>
        <v/>
      </c>
      <c r="F18" s="47" t="str">
        <f>IF($A18="","",SUMIFS(Sales_Record!$N$13:$N$52,Sales_Record!$L$13:$L$52,$A18,Sales_Record!$K$13:$K$52,"รายคน")+$C18*SUMIF(Sales_Record!$K$13:$K$52,"ทีม",Sales_Record!$N$13:$N$52))</f>
        <v/>
      </c>
      <c r="G18" s="46" t="str">
        <f>IF($A18="","",SUMIFS(Sales_Record!$N$13:$N$52,Sales_Record!$L$13:$L$52,$A18,Sales_Record!$K$13:$K$52,"รายคน",Sales_Record!$O$13:$O$52,"จ่ายแล้ว")+$C18*SUMIFS(Sales_Record!$N$13:$N$52,Sales_Record!$K$13:$K$52,"ทีม",Sales_Record!$O$13:$O$52,"จ่ายแล้ว"))</f>
        <v/>
      </c>
      <c r="H18" s="46" t="str">
        <f t="shared" si="0"/>
        <v/>
      </c>
    </row>
    <row r="19" spans="1:8" x14ac:dyDescent="0.2">
      <c r="A19" s="24"/>
      <c r="B19" s="25"/>
      <c r="C19" s="44"/>
      <c r="D19" s="45" t="str">
        <f>IF($A19="","",COUNTIFS(Sales_Record!$L$13:$L$52,$A19,Sales_Record!$K$13:$K$52,"รายคน"))</f>
        <v/>
      </c>
      <c r="E19" s="46" t="str">
        <f>IF($A19="","",SUMIFS(Sales_Record!$J$13:$J$52,Sales_Record!$L$13:$L$52,$A19,Sales_Record!$K$13:$K$52,"รายคน")+$C19*SUMIF(Sales_Record!$K$13:$K$52,"ทีม",Sales_Record!$J$13:$J$52))</f>
        <v/>
      </c>
      <c r="F19" s="47" t="str">
        <f>IF($A19="","",SUMIFS(Sales_Record!$N$13:$N$52,Sales_Record!$L$13:$L$52,$A19,Sales_Record!$K$13:$K$52,"รายคน")+$C19*SUMIF(Sales_Record!$K$13:$K$52,"ทีม",Sales_Record!$N$13:$N$52))</f>
        <v/>
      </c>
      <c r="G19" s="46" t="str">
        <f>IF($A19="","",SUMIFS(Sales_Record!$N$13:$N$52,Sales_Record!$L$13:$L$52,$A19,Sales_Record!$K$13:$K$52,"รายคน",Sales_Record!$O$13:$O$52,"จ่ายแล้ว")+$C19*SUMIFS(Sales_Record!$N$13:$N$52,Sales_Record!$K$13:$K$52,"ทีม",Sales_Record!$O$13:$O$52,"จ่ายแล้ว"))</f>
        <v/>
      </c>
      <c r="H19" s="46" t="str">
        <f t="shared" si="0"/>
        <v/>
      </c>
    </row>
    <row r="20" spans="1:8" x14ac:dyDescent="0.2">
      <c r="A20" s="24"/>
      <c r="B20" s="25"/>
      <c r="C20" s="44"/>
      <c r="D20" s="45" t="str">
        <f>IF($A20="","",COUNTIFS(Sales_Record!$L$13:$L$52,$A20,Sales_Record!$K$13:$K$52,"รายคน"))</f>
        <v/>
      </c>
      <c r="E20" s="46" t="str">
        <f>IF($A20="","",SUMIFS(Sales_Record!$J$13:$J$52,Sales_Record!$L$13:$L$52,$A20,Sales_Record!$K$13:$K$52,"รายคน")+$C20*SUMIF(Sales_Record!$K$13:$K$52,"ทีม",Sales_Record!$J$13:$J$52))</f>
        <v/>
      </c>
      <c r="F20" s="47" t="str">
        <f>IF($A20="","",SUMIFS(Sales_Record!$N$13:$N$52,Sales_Record!$L$13:$L$52,$A20,Sales_Record!$K$13:$K$52,"รายคน")+$C20*SUMIF(Sales_Record!$K$13:$K$52,"ทีม",Sales_Record!$N$13:$N$52))</f>
        <v/>
      </c>
      <c r="G20" s="46" t="str">
        <f>IF($A20="","",SUMIFS(Sales_Record!$N$13:$N$52,Sales_Record!$L$13:$L$52,$A20,Sales_Record!$K$13:$K$52,"รายคน",Sales_Record!$O$13:$O$52,"จ่ายแล้ว")+$C20*SUMIFS(Sales_Record!$N$13:$N$52,Sales_Record!$K$13:$K$52,"ทีม",Sales_Record!$O$13:$O$52,"จ่ายแล้ว"))</f>
        <v/>
      </c>
      <c r="H20" s="46" t="str">
        <f t="shared" si="0"/>
        <v/>
      </c>
    </row>
    <row r="21" spans="1:8" x14ac:dyDescent="0.2">
      <c r="A21" s="74" t="s">
        <v>65</v>
      </c>
      <c r="B21" s="75"/>
      <c r="C21" s="48">
        <f t="shared" ref="C21:H21" si="1">SUM(C6:C20)</f>
        <v>1</v>
      </c>
      <c r="D21" s="49">
        <f t="shared" si="1"/>
        <v>0</v>
      </c>
      <c r="E21" s="42">
        <f t="shared" si="1"/>
        <v>15588</v>
      </c>
      <c r="F21" s="42">
        <f t="shared" si="1"/>
        <v>1558.8000000000002</v>
      </c>
      <c r="G21" s="42">
        <f t="shared" si="1"/>
        <v>1558.8000000000002</v>
      </c>
      <c r="H21" s="42">
        <f t="shared" si="1"/>
        <v>0</v>
      </c>
    </row>
    <row r="24" spans="1:8" ht="18" customHeight="1" x14ac:dyDescent="0.2">
      <c r="A24" s="60" t="s">
        <v>66</v>
      </c>
      <c r="B24" s="61"/>
      <c r="C24" s="61"/>
      <c r="D24" s="61"/>
      <c r="E24" s="61"/>
      <c r="F24" s="61"/>
    </row>
    <row r="25" spans="1:8" ht="15" customHeight="1" x14ac:dyDescent="0.2">
      <c r="A25" s="58" t="s">
        <v>67</v>
      </c>
      <c r="B25" s="59"/>
      <c r="C25" s="59"/>
      <c r="D25" s="59"/>
      <c r="E25" s="59"/>
      <c r="F25" s="59"/>
    </row>
    <row r="26" spans="1:8" ht="15" customHeight="1" x14ac:dyDescent="0.2">
      <c r="A26" s="58" t="s">
        <v>68</v>
      </c>
      <c r="B26" s="59"/>
      <c r="C26" s="59"/>
      <c r="D26" s="59"/>
      <c r="E26" s="59"/>
      <c r="F26" s="59"/>
    </row>
    <row r="27" spans="1:8" ht="15" customHeight="1" x14ac:dyDescent="0.2">
      <c r="A27" s="58" t="s">
        <v>69</v>
      </c>
      <c r="B27" s="59"/>
      <c r="C27" s="59"/>
      <c r="D27" s="59"/>
      <c r="E27" s="59"/>
      <c r="F27" s="59"/>
    </row>
    <row r="28" spans="1:8" ht="15" customHeight="1" x14ac:dyDescent="0.2">
      <c r="A28" s="58" t="s">
        <v>70</v>
      </c>
      <c r="B28" s="59"/>
      <c r="C28" s="59"/>
      <c r="D28" s="59"/>
      <c r="E28" s="59"/>
      <c r="F28" s="59"/>
    </row>
    <row r="29" spans="1:8" ht="15" customHeight="1" x14ac:dyDescent="0.2">
      <c r="A29" s="58" t="s">
        <v>71</v>
      </c>
      <c r="B29" s="59"/>
      <c r="C29" s="59"/>
      <c r="D29" s="59"/>
      <c r="E29" s="59"/>
      <c r="F29" s="59"/>
    </row>
  </sheetData>
  <sheetProtection sheet="1"/>
  <mergeCells count="11">
    <mergeCell ref="A29:F29"/>
    <mergeCell ref="A25:F25"/>
    <mergeCell ref="C1:H1"/>
    <mergeCell ref="A24:F24"/>
    <mergeCell ref="A21:B21"/>
    <mergeCell ref="A3:H3"/>
    <mergeCell ref="C2:H2"/>
    <mergeCell ref="A28:F28"/>
    <mergeCell ref="A27:F27"/>
    <mergeCell ref="A26:F26"/>
    <mergeCell ref="A1:B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7"/>
  <sheetViews>
    <sheetView showGridLines="0" zoomScale="167" zoomScaleNormal="167" workbookViewId="0">
      <selection activeCell="H23" sqref="H23"/>
    </sheetView>
  </sheetViews>
  <sheetFormatPr baseColWidth="10" defaultColWidth="8.83203125" defaultRowHeight="15" x14ac:dyDescent="0.2"/>
  <cols>
    <col min="1" max="2" width="16" customWidth="1"/>
    <col min="3" max="3" width="14" customWidth="1"/>
    <col min="4" max="4" width="16" customWidth="1"/>
    <col min="5" max="5" width="14" customWidth="1"/>
    <col min="6" max="6" width="16" customWidth="1"/>
  </cols>
  <sheetData>
    <row r="1" spans="1:6" ht="18" x14ac:dyDescent="0.2">
      <c r="A1" s="79" t="s">
        <v>72</v>
      </c>
      <c r="B1" s="59"/>
      <c r="C1" s="59"/>
      <c r="D1" s="59"/>
      <c r="E1" s="59"/>
      <c r="F1" s="59"/>
    </row>
    <row r="2" spans="1:6" x14ac:dyDescent="0.2">
      <c r="A2" s="78" t="s">
        <v>73</v>
      </c>
      <c r="B2" s="59"/>
      <c r="C2" s="59"/>
      <c r="D2" s="59"/>
      <c r="E2" s="59"/>
      <c r="F2" s="59"/>
    </row>
    <row r="3" spans="1:6" ht="30" customHeight="1" x14ac:dyDescent="0.2">
      <c r="A3" s="50" t="s">
        <v>34</v>
      </c>
      <c r="B3" s="50" t="s">
        <v>74</v>
      </c>
      <c r="C3" s="50" t="s">
        <v>75</v>
      </c>
      <c r="D3" s="50" t="s">
        <v>76</v>
      </c>
      <c r="E3" s="50" t="s">
        <v>77</v>
      </c>
      <c r="F3" s="50" t="s">
        <v>78</v>
      </c>
    </row>
    <row r="4" spans="1:6" x14ac:dyDescent="0.2">
      <c r="A4" s="8" t="s">
        <v>79</v>
      </c>
      <c r="B4" s="26">
        <v>15588</v>
      </c>
      <c r="C4" s="27">
        <v>0.1</v>
      </c>
      <c r="D4" s="9">
        <f>B4*C4</f>
        <v>1558.8000000000002</v>
      </c>
      <c r="E4" s="27">
        <v>0.05</v>
      </c>
      <c r="F4" s="9">
        <f>B4*E4</f>
        <v>779.40000000000009</v>
      </c>
    </row>
    <row r="5" spans="1:6" x14ac:dyDescent="0.2">
      <c r="A5" s="10" t="s">
        <v>80</v>
      </c>
      <c r="B5" s="28">
        <v>23988</v>
      </c>
      <c r="C5" s="29">
        <v>0.12</v>
      </c>
      <c r="D5" s="11">
        <f>B5*C5</f>
        <v>2878.56</v>
      </c>
      <c r="E5" s="29">
        <v>0.06</v>
      </c>
      <c r="F5" s="11">
        <f>B5*E5</f>
        <v>1439.28</v>
      </c>
    </row>
    <row r="6" spans="1:6" x14ac:dyDescent="0.2">
      <c r="A6" s="8" t="s">
        <v>81</v>
      </c>
      <c r="B6" s="26">
        <v>35988</v>
      </c>
      <c r="C6" s="27">
        <v>0.15</v>
      </c>
      <c r="D6" s="9">
        <f>B6*C6</f>
        <v>5398.2</v>
      </c>
      <c r="E6" s="27">
        <v>7.4999999999999997E-2</v>
      </c>
      <c r="F6" s="9">
        <f>B6*E6</f>
        <v>2699.1</v>
      </c>
    </row>
    <row r="7" spans="1:6" x14ac:dyDescent="0.2">
      <c r="A7" s="10" t="s">
        <v>82</v>
      </c>
      <c r="B7" s="30">
        <v>100000</v>
      </c>
      <c r="C7" s="29">
        <v>0.1</v>
      </c>
      <c r="D7" s="11">
        <f>B7*C7</f>
        <v>10000</v>
      </c>
      <c r="E7" s="29">
        <v>0.05</v>
      </c>
      <c r="F7" s="11">
        <f>B7*E7</f>
        <v>5000</v>
      </c>
    </row>
    <row r="9" spans="1:6" x14ac:dyDescent="0.2">
      <c r="A9" s="12" t="s">
        <v>83</v>
      </c>
    </row>
    <row r="10" spans="1:6" x14ac:dyDescent="0.2">
      <c r="A10" s="77" t="s">
        <v>84</v>
      </c>
      <c r="B10" s="59"/>
      <c r="C10" s="59"/>
      <c r="D10" s="59"/>
      <c r="E10" s="59"/>
      <c r="F10" s="59"/>
    </row>
    <row r="11" spans="1:6" x14ac:dyDescent="0.2">
      <c r="A11" s="77" t="s">
        <v>85</v>
      </c>
      <c r="B11" s="59"/>
      <c r="C11" s="59"/>
      <c r="D11" s="59"/>
      <c r="E11" s="59"/>
      <c r="F11" s="59"/>
    </row>
    <row r="12" spans="1:6" x14ac:dyDescent="0.2">
      <c r="A12" s="77" t="s">
        <v>86</v>
      </c>
      <c r="B12" s="59"/>
      <c r="C12" s="59"/>
      <c r="D12" s="59"/>
      <c r="E12" s="59"/>
      <c r="F12" s="59"/>
    </row>
    <row r="14" spans="1:6" ht="18" customHeight="1" x14ac:dyDescent="0.2">
      <c r="A14" s="60" t="s">
        <v>87</v>
      </c>
      <c r="B14" s="61"/>
      <c r="C14" s="61"/>
      <c r="D14" s="61"/>
      <c r="E14" s="61"/>
      <c r="F14" s="61"/>
    </row>
    <row r="15" spans="1:6" ht="15" customHeight="1" x14ac:dyDescent="0.2">
      <c r="A15" s="58" t="s">
        <v>88</v>
      </c>
      <c r="B15" s="59"/>
      <c r="C15" s="59"/>
      <c r="D15" s="59"/>
      <c r="E15" s="59"/>
      <c r="F15" s="59"/>
    </row>
    <row r="16" spans="1:6" ht="15" customHeight="1" x14ac:dyDescent="0.2">
      <c r="A16" s="58" t="s">
        <v>89</v>
      </c>
      <c r="B16" s="59"/>
      <c r="C16" s="59"/>
      <c r="D16" s="59"/>
      <c r="E16" s="59"/>
      <c r="F16" s="59"/>
    </row>
    <row r="17" spans="1:6" ht="15" customHeight="1" x14ac:dyDescent="0.2">
      <c r="A17" s="58" t="s">
        <v>90</v>
      </c>
      <c r="B17" s="59"/>
      <c r="C17" s="59"/>
      <c r="D17" s="59"/>
      <c r="E17" s="59"/>
      <c r="F17" s="59"/>
    </row>
  </sheetData>
  <sheetProtection sheet="1"/>
  <mergeCells count="9">
    <mergeCell ref="A1:F1"/>
    <mergeCell ref="A17:F17"/>
    <mergeCell ref="A12:F12"/>
    <mergeCell ref="A15:F15"/>
    <mergeCell ref="A16:F16"/>
    <mergeCell ref="A11:F11"/>
    <mergeCell ref="A2:F2"/>
    <mergeCell ref="A10:F10"/>
    <mergeCell ref="A14:F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3"/>
  <sheetViews>
    <sheetView showGridLines="0" tabSelected="1" workbookViewId="0">
      <pane ySplit="5" topLeftCell="A6" activePane="bottomLeft" state="frozen"/>
      <selection pane="bottomLeft" sqref="A1:B2"/>
    </sheetView>
  </sheetViews>
  <sheetFormatPr baseColWidth="10" defaultColWidth="8.83203125" defaultRowHeight="15" x14ac:dyDescent="0.2"/>
  <cols>
    <col min="1" max="1" width="5" customWidth="1"/>
    <col min="2" max="2" width="12" customWidth="1"/>
    <col min="3" max="3" width="8" customWidth="1"/>
    <col min="4" max="4" width="24" customWidth="1"/>
    <col min="5" max="5" width="12" customWidth="1"/>
    <col min="6" max="6" width="11" customWidth="1"/>
    <col min="7" max="7" width="14" customWidth="1"/>
    <col min="8" max="8" width="10" customWidth="1"/>
    <col min="9" max="9" width="16" customWidth="1"/>
    <col min="10" max="10" width="13" customWidth="1"/>
  </cols>
  <sheetData>
    <row r="1" spans="1:10" ht="26" customHeight="1" x14ac:dyDescent="0.2">
      <c r="A1" s="69" t="s">
        <v>0</v>
      </c>
      <c r="B1" s="59"/>
      <c r="C1" s="64" t="s">
        <v>91</v>
      </c>
      <c r="D1" s="59"/>
      <c r="E1" s="59"/>
      <c r="F1" s="59"/>
      <c r="G1" s="59"/>
      <c r="H1" s="59"/>
      <c r="I1" s="59"/>
      <c r="J1" s="59"/>
    </row>
    <row r="2" spans="1:10" ht="18" customHeight="1" x14ac:dyDescent="0.2">
      <c r="A2" s="59"/>
      <c r="B2" s="59"/>
      <c r="C2" s="68" t="s">
        <v>92</v>
      </c>
      <c r="D2" s="59"/>
      <c r="E2" s="59"/>
      <c r="F2" s="59"/>
      <c r="G2" s="59"/>
      <c r="H2" s="59"/>
      <c r="I2" s="59"/>
      <c r="J2" s="59"/>
    </row>
    <row r="3" spans="1:10" ht="16" customHeight="1" x14ac:dyDescent="0.2">
      <c r="A3" s="76" t="s">
        <v>93</v>
      </c>
      <c r="B3" s="59"/>
      <c r="C3" s="59"/>
      <c r="D3" s="59"/>
      <c r="E3" s="59"/>
      <c r="F3" s="59"/>
      <c r="G3" s="59"/>
      <c r="H3" s="59"/>
      <c r="I3" s="59"/>
      <c r="J3" s="59"/>
    </row>
    <row r="5" spans="1:10" ht="30" customHeight="1" x14ac:dyDescent="0.2">
      <c r="A5" s="43" t="s">
        <v>28</v>
      </c>
      <c r="B5" s="43" t="s">
        <v>29</v>
      </c>
      <c r="C5" s="43" t="s">
        <v>30</v>
      </c>
      <c r="D5" s="43" t="s">
        <v>31</v>
      </c>
      <c r="E5" s="43" t="s">
        <v>34</v>
      </c>
      <c r="F5" s="43" t="s">
        <v>32</v>
      </c>
      <c r="G5" s="43" t="s">
        <v>94</v>
      </c>
      <c r="H5" s="43" t="s">
        <v>36</v>
      </c>
      <c r="I5" s="43" t="s">
        <v>95</v>
      </c>
      <c r="J5" s="43" t="s">
        <v>33</v>
      </c>
    </row>
    <row r="6" spans="1:10" x14ac:dyDescent="0.2">
      <c r="A6" s="15" t="str">
        <f t="shared" ref="A6:A45" si="0">IF($B6="","",ROW()-5)</f>
        <v/>
      </c>
      <c r="B6" s="3" t="str">
        <f>IF(Sales_Record!B13="","",Sales_Record!B13)</f>
        <v/>
      </c>
      <c r="C6" s="2" t="str">
        <f>IF($B6="","",Sales_Record!C13)</f>
        <v/>
      </c>
      <c r="D6" s="4" t="str">
        <f>IF($B6="","",Sales_Record!D13)</f>
        <v/>
      </c>
      <c r="E6" s="2" t="str">
        <f>IF($B6="","",Sales_Record!G13)</f>
        <v/>
      </c>
      <c r="F6" s="2" t="str">
        <f>IF($B6="","",Sales_Record!E13)</f>
        <v/>
      </c>
      <c r="G6" s="36" t="str">
        <f>IF($B6="","",Sales_Record!H13)</f>
        <v/>
      </c>
      <c r="H6" s="5" t="str">
        <f>IF($B6="","",Sales_Record!I13)</f>
        <v/>
      </c>
      <c r="I6" s="51" t="str">
        <f>IF($B6="","",Sales_Record!J13)</f>
        <v/>
      </c>
      <c r="J6" s="2" t="str">
        <f>IF($B6="","",Sales_Record!F13)</f>
        <v/>
      </c>
    </row>
    <row r="7" spans="1:10" x14ac:dyDescent="0.2">
      <c r="A7" s="15" t="str">
        <f t="shared" si="0"/>
        <v/>
      </c>
      <c r="B7" s="3" t="str">
        <f>IF(Sales_Record!B14="","",Sales_Record!B14)</f>
        <v/>
      </c>
      <c r="C7" s="2" t="str">
        <f>IF($B7="","",Sales_Record!C14)</f>
        <v/>
      </c>
      <c r="D7" s="4" t="str">
        <f>IF($B7="","",Sales_Record!D14)</f>
        <v/>
      </c>
      <c r="E7" s="2" t="str">
        <f>IF($B7="","",Sales_Record!G14)</f>
        <v/>
      </c>
      <c r="F7" s="2" t="str">
        <f>IF($B7="","",Sales_Record!E14)</f>
        <v/>
      </c>
      <c r="G7" s="36" t="str">
        <f>IF($B7="","",Sales_Record!H14)</f>
        <v/>
      </c>
      <c r="H7" s="5" t="str">
        <f>IF($B7="","",Sales_Record!I14)</f>
        <v/>
      </c>
      <c r="I7" s="51" t="str">
        <f>IF($B7="","",Sales_Record!J14)</f>
        <v/>
      </c>
      <c r="J7" s="2" t="str">
        <f>IF($B7="","",Sales_Record!F14)</f>
        <v/>
      </c>
    </row>
    <row r="8" spans="1:10" x14ac:dyDescent="0.2">
      <c r="A8" s="15" t="str">
        <f t="shared" si="0"/>
        <v/>
      </c>
      <c r="B8" s="3" t="str">
        <f>IF(Sales_Record!B15="","",Sales_Record!B15)</f>
        <v/>
      </c>
      <c r="C8" s="2" t="str">
        <f>IF($B8="","",Sales_Record!C15)</f>
        <v/>
      </c>
      <c r="D8" s="4" t="str">
        <f>IF($B8="","",Sales_Record!D15)</f>
        <v/>
      </c>
      <c r="E8" s="2" t="str">
        <f>IF($B8="","",Sales_Record!G15)</f>
        <v/>
      </c>
      <c r="F8" s="2" t="str">
        <f>IF($B8="","",Sales_Record!E15)</f>
        <v/>
      </c>
      <c r="G8" s="36" t="str">
        <f>IF($B8="","",Sales_Record!H15)</f>
        <v/>
      </c>
      <c r="H8" s="5" t="str">
        <f>IF($B8="","",Sales_Record!I15)</f>
        <v/>
      </c>
      <c r="I8" s="51" t="str">
        <f>IF($B8="","",Sales_Record!J15)</f>
        <v/>
      </c>
      <c r="J8" s="2" t="str">
        <f>IF($B8="","",Sales_Record!F15)</f>
        <v/>
      </c>
    </row>
    <row r="9" spans="1:10" x14ac:dyDescent="0.2">
      <c r="A9" s="15" t="str">
        <f t="shared" si="0"/>
        <v/>
      </c>
      <c r="B9" s="3" t="str">
        <f>IF(Sales_Record!B16="","",Sales_Record!B16)</f>
        <v/>
      </c>
      <c r="C9" s="2" t="str">
        <f>IF($B9="","",Sales_Record!C16)</f>
        <v/>
      </c>
      <c r="D9" s="4" t="str">
        <f>IF($B9="","",Sales_Record!D16)</f>
        <v/>
      </c>
      <c r="E9" s="2" t="str">
        <f>IF($B9="","",Sales_Record!G16)</f>
        <v/>
      </c>
      <c r="F9" s="2" t="str">
        <f>IF($B9="","",Sales_Record!E16)</f>
        <v/>
      </c>
      <c r="G9" s="36" t="str">
        <f>IF($B9="","",Sales_Record!H16)</f>
        <v/>
      </c>
      <c r="H9" s="5" t="str">
        <f>IF($B9="","",Sales_Record!I16)</f>
        <v/>
      </c>
      <c r="I9" s="51" t="str">
        <f>IF($B9="","",Sales_Record!J16)</f>
        <v/>
      </c>
      <c r="J9" s="2" t="str">
        <f>IF($B9="","",Sales_Record!F16)</f>
        <v/>
      </c>
    </row>
    <row r="10" spans="1:10" x14ac:dyDescent="0.2">
      <c r="A10" s="15" t="str">
        <f t="shared" si="0"/>
        <v/>
      </c>
      <c r="B10" s="3" t="str">
        <f>IF(Sales_Record!B17="","",Sales_Record!B17)</f>
        <v/>
      </c>
      <c r="C10" s="2" t="str">
        <f>IF($B10="","",Sales_Record!C17)</f>
        <v/>
      </c>
      <c r="D10" s="4" t="str">
        <f>IF($B10="","",Sales_Record!D17)</f>
        <v/>
      </c>
      <c r="E10" s="2" t="str">
        <f>IF($B10="","",Sales_Record!G17)</f>
        <v/>
      </c>
      <c r="F10" s="2" t="str">
        <f>IF($B10="","",Sales_Record!E17)</f>
        <v/>
      </c>
      <c r="G10" s="36" t="str">
        <f>IF($B10="","",Sales_Record!H17)</f>
        <v/>
      </c>
      <c r="H10" s="5" t="str">
        <f>IF($B10="","",Sales_Record!I17)</f>
        <v/>
      </c>
      <c r="I10" s="51" t="str">
        <f>IF($B10="","",Sales_Record!J17)</f>
        <v/>
      </c>
      <c r="J10" s="2" t="str">
        <f>IF($B10="","",Sales_Record!F17)</f>
        <v/>
      </c>
    </row>
    <row r="11" spans="1:10" x14ac:dyDescent="0.2">
      <c r="A11" s="15" t="str">
        <f t="shared" si="0"/>
        <v/>
      </c>
      <c r="B11" s="3" t="str">
        <f>IF(Sales_Record!B18="","",Sales_Record!B18)</f>
        <v/>
      </c>
      <c r="C11" s="2" t="str">
        <f>IF($B11="","",Sales_Record!C18)</f>
        <v/>
      </c>
      <c r="D11" s="4" t="str">
        <f>IF($B11="","",Sales_Record!D18)</f>
        <v/>
      </c>
      <c r="E11" s="2" t="str">
        <f>IF($B11="","",Sales_Record!G18)</f>
        <v/>
      </c>
      <c r="F11" s="2" t="str">
        <f>IF($B11="","",Sales_Record!E18)</f>
        <v/>
      </c>
      <c r="G11" s="36" t="str">
        <f>IF($B11="","",Sales_Record!H18)</f>
        <v/>
      </c>
      <c r="H11" s="5" t="str">
        <f>IF($B11="","",Sales_Record!I18)</f>
        <v/>
      </c>
      <c r="I11" s="51" t="str">
        <f>IF($B11="","",Sales_Record!J18)</f>
        <v/>
      </c>
      <c r="J11" s="2" t="str">
        <f>IF($B11="","",Sales_Record!F18)</f>
        <v/>
      </c>
    </row>
    <row r="12" spans="1:10" x14ac:dyDescent="0.2">
      <c r="A12" s="15" t="str">
        <f t="shared" si="0"/>
        <v/>
      </c>
      <c r="B12" s="3" t="str">
        <f>IF(Sales_Record!B19="","",Sales_Record!B19)</f>
        <v/>
      </c>
      <c r="C12" s="2" t="str">
        <f>IF($B12="","",Sales_Record!C19)</f>
        <v/>
      </c>
      <c r="D12" s="4" t="str">
        <f>IF($B12="","",Sales_Record!D19)</f>
        <v/>
      </c>
      <c r="E12" s="2" t="str">
        <f>IF($B12="","",Sales_Record!G19)</f>
        <v/>
      </c>
      <c r="F12" s="2" t="str">
        <f>IF($B12="","",Sales_Record!E19)</f>
        <v/>
      </c>
      <c r="G12" s="36" t="str">
        <f>IF($B12="","",Sales_Record!H19)</f>
        <v/>
      </c>
      <c r="H12" s="5" t="str">
        <f>IF($B12="","",Sales_Record!I19)</f>
        <v/>
      </c>
      <c r="I12" s="51" t="str">
        <f>IF($B12="","",Sales_Record!J19)</f>
        <v/>
      </c>
      <c r="J12" s="2" t="str">
        <f>IF($B12="","",Sales_Record!F19)</f>
        <v/>
      </c>
    </row>
    <row r="13" spans="1:10" x14ac:dyDescent="0.2">
      <c r="A13" s="15" t="str">
        <f t="shared" si="0"/>
        <v/>
      </c>
      <c r="B13" s="3" t="str">
        <f>IF(Sales_Record!B20="","",Sales_Record!B20)</f>
        <v/>
      </c>
      <c r="C13" s="2" t="str">
        <f>IF($B13="","",Sales_Record!C20)</f>
        <v/>
      </c>
      <c r="D13" s="4" t="str">
        <f>IF($B13="","",Sales_Record!D20)</f>
        <v/>
      </c>
      <c r="E13" s="2" t="str">
        <f>IF($B13="","",Sales_Record!G20)</f>
        <v/>
      </c>
      <c r="F13" s="2" t="str">
        <f>IF($B13="","",Sales_Record!E20)</f>
        <v/>
      </c>
      <c r="G13" s="36" t="str">
        <f>IF($B13="","",Sales_Record!H20)</f>
        <v/>
      </c>
      <c r="H13" s="5" t="str">
        <f>IF($B13="","",Sales_Record!I20)</f>
        <v/>
      </c>
      <c r="I13" s="51" t="str">
        <f>IF($B13="","",Sales_Record!J20)</f>
        <v/>
      </c>
      <c r="J13" s="2" t="str">
        <f>IF($B13="","",Sales_Record!F20)</f>
        <v/>
      </c>
    </row>
    <row r="14" spans="1:10" x14ac:dyDescent="0.2">
      <c r="A14" s="15" t="str">
        <f t="shared" si="0"/>
        <v/>
      </c>
      <c r="B14" s="3" t="str">
        <f>IF(Sales_Record!B21="","",Sales_Record!B21)</f>
        <v/>
      </c>
      <c r="C14" s="2" t="str">
        <f>IF($B14="","",Sales_Record!C21)</f>
        <v/>
      </c>
      <c r="D14" s="4" t="str">
        <f>IF($B14="","",Sales_Record!D21)</f>
        <v/>
      </c>
      <c r="E14" s="2" t="str">
        <f>IF($B14="","",Sales_Record!G21)</f>
        <v/>
      </c>
      <c r="F14" s="2" t="str">
        <f>IF($B14="","",Sales_Record!E21)</f>
        <v/>
      </c>
      <c r="G14" s="36" t="str">
        <f>IF($B14="","",Sales_Record!H21)</f>
        <v/>
      </c>
      <c r="H14" s="5" t="str">
        <f>IF($B14="","",Sales_Record!I21)</f>
        <v/>
      </c>
      <c r="I14" s="51" t="str">
        <f>IF($B14="","",Sales_Record!J21)</f>
        <v/>
      </c>
      <c r="J14" s="2" t="str">
        <f>IF($B14="","",Sales_Record!F21)</f>
        <v/>
      </c>
    </row>
    <row r="15" spans="1:10" x14ac:dyDescent="0.2">
      <c r="A15" s="15" t="str">
        <f t="shared" si="0"/>
        <v/>
      </c>
      <c r="B15" s="3" t="str">
        <f>IF(Sales_Record!B22="","",Sales_Record!B22)</f>
        <v/>
      </c>
      <c r="C15" s="2" t="str">
        <f>IF($B15="","",Sales_Record!C22)</f>
        <v/>
      </c>
      <c r="D15" s="4" t="str">
        <f>IF($B15="","",Sales_Record!D22)</f>
        <v/>
      </c>
      <c r="E15" s="2" t="str">
        <f>IF($B15="","",Sales_Record!G22)</f>
        <v/>
      </c>
      <c r="F15" s="2" t="str">
        <f>IF($B15="","",Sales_Record!E22)</f>
        <v/>
      </c>
      <c r="G15" s="36" t="str">
        <f>IF($B15="","",Sales_Record!H22)</f>
        <v/>
      </c>
      <c r="H15" s="5" t="str">
        <f>IF($B15="","",Sales_Record!I22)</f>
        <v/>
      </c>
      <c r="I15" s="51" t="str">
        <f>IF($B15="","",Sales_Record!J22)</f>
        <v/>
      </c>
      <c r="J15" s="2" t="str">
        <f>IF($B15="","",Sales_Record!F22)</f>
        <v/>
      </c>
    </row>
    <row r="16" spans="1:10" x14ac:dyDescent="0.2">
      <c r="A16" s="15" t="str">
        <f t="shared" si="0"/>
        <v/>
      </c>
      <c r="B16" s="3" t="str">
        <f>IF(Sales_Record!B23="","",Sales_Record!B23)</f>
        <v/>
      </c>
      <c r="C16" s="2" t="str">
        <f>IF($B16="","",Sales_Record!C23)</f>
        <v/>
      </c>
      <c r="D16" s="4" t="str">
        <f>IF($B16="","",Sales_Record!D23)</f>
        <v/>
      </c>
      <c r="E16" s="2" t="str">
        <f>IF($B16="","",Sales_Record!G23)</f>
        <v/>
      </c>
      <c r="F16" s="2" t="str">
        <f>IF($B16="","",Sales_Record!E23)</f>
        <v/>
      </c>
      <c r="G16" s="36" t="str">
        <f>IF($B16="","",Sales_Record!H23)</f>
        <v/>
      </c>
      <c r="H16" s="5" t="str">
        <f>IF($B16="","",Sales_Record!I23)</f>
        <v/>
      </c>
      <c r="I16" s="51" t="str">
        <f>IF($B16="","",Sales_Record!J23)</f>
        <v/>
      </c>
      <c r="J16" s="2" t="str">
        <f>IF($B16="","",Sales_Record!F23)</f>
        <v/>
      </c>
    </row>
    <row r="17" spans="1:10" x14ac:dyDescent="0.2">
      <c r="A17" s="15" t="str">
        <f t="shared" si="0"/>
        <v/>
      </c>
      <c r="B17" s="3" t="str">
        <f>IF(Sales_Record!B24="","",Sales_Record!B24)</f>
        <v/>
      </c>
      <c r="C17" s="2" t="str">
        <f>IF($B17="","",Sales_Record!C24)</f>
        <v/>
      </c>
      <c r="D17" s="4" t="str">
        <f>IF($B17="","",Sales_Record!D24)</f>
        <v/>
      </c>
      <c r="E17" s="2" t="str">
        <f>IF($B17="","",Sales_Record!G24)</f>
        <v/>
      </c>
      <c r="F17" s="2" t="str">
        <f>IF($B17="","",Sales_Record!E24)</f>
        <v/>
      </c>
      <c r="G17" s="36" t="str">
        <f>IF($B17="","",Sales_Record!H24)</f>
        <v/>
      </c>
      <c r="H17" s="5" t="str">
        <f>IF($B17="","",Sales_Record!I24)</f>
        <v/>
      </c>
      <c r="I17" s="51" t="str">
        <f>IF($B17="","",Sales_Record!J24)</f>
        <v/>
      </c>
      <c r="J17" s="2" t="str">
        <f>IF($B17="","",Sales_Record!F24)</f>
        <v/>
      </c>
    </row>
    <row r="18" spans="1:10" x14ac:dyDescent="0.2">
      <c r="A18" s="15" t="str">
        <f t="shared" si="0"/>
        <v/>
      </c>
      <c r="B18" s="3" t="str">
        <f>IF(Sales_Record!B25="","",Sales_Record!B25)</f>
        <v/>
      </c>
      <c r="C18" s="2" t="str">
        <f>IF($B18="","",Sales_Record!C25)</f>
        <v/>
      </c>
      <c r="D18" s="4" t="str">
        <f>IF($B18="","",Sales_Record!D25)</f>
        <v/>
      </c>
      <c r="E18" s="2" t="str">
        <f>IF($B18="","",Sales_Record!G25)</f>
        <v/>
      </c>
      <c r="F18" s="2" t="str">
        <f>IF($B18="","",Sales_Record!E25)</f>
        <v/>
      </c>
      <c r="G18" s="36" t="str">
        <f>IF($B18="","",Sales_Record!H25)</f>
        <v/>
      </c>
      <c r="H18" s="5" t="str">
        <f>IF($B18="","",Sales_Record!I25)</f>
        <v/>
      </c>
      <c r="I18" s="51" t="str">
        <f>IF($B18="","",Sales_Record!J25)</f>
        <v/>
      </c>
      <c r="J18" s="2" t="str">
        <f>IF($B18="","",Sales_Record!F25)</f>
        <v/>
      </c>
    </row>
    <row r="19" spans="1:10" x14ac:dyDescent="0.2">
      <c r="A19" s="15" t="str">
        <f t="shared" si="0"/>
        <v/>
      </c>
      <c r="B19" s="3" t="str">
        <f>IF(Sales_Record!B26="","",Sales_Record!B26)</f>
        <v/>
      </c>
      <c r="C19" s="2" t="str">
        <f>IF($B19="","",Sales_Record!C26)</f>
        <v/>
      </c>
      <c r="D19" s="4" t="str">
        <f>IF($B19="","",Sales_Record!D26)</f>
        <v/>
      </c>
      <c r="E19" s="2" t="str">
        <f>IF($B19="","",Sales_Record!G26)</f>
        <v/>
      </c>
      <c r="F19" s="2" t="str">
        <f>IF($B19="","",Sales_Record!E26)</f>
        <v/>
      </c>
      <c r="G19" s="36" t="str">
        <f>IF($B19="","",Sales_Record!H26)</f>
        <v/>
      </c>
      <c r="H19" s="5" t="str">
        <f>IF($B19="","",Sales_Record!I26)</f>
        <v/>
      </c>
      <c r="I19" s="51" t="str">
        <f>IF($B19="","",Sales_Record!J26)</f>
        <v/>
      </c>
      <c r="J19" s="2" t="str">
        <f>IF($B19="","",Sales_Record!F26)</f>
        <v/>
      </c>
    </row>
    <row r="20" spans="1:10" x14ac:dyDescent="0.2">
      <c r="A20" s="15" t="str">
        <f t="shared" si="0"/>
        <v/>
      </c>
      <c r="B20" s="3" t="str">
        <f>IF(Sales_Record!B27="","",Sales_Record!B27)</f>
        <v/>
      </c>
      <c r="C20" s="2" t="str">
        <f>IF($B20="","",Sales_Record!C27)</f>
        <v/>
      </c>
      <c r="D20" s="4" t="str">
        <f>IF($B20="","",Sales_Record!D27)</f>
        <v/>
      </c>
      <c r="E20" s="2" t="str">
        <f>IF($B20="","",Sales_Record!G27)</f>
        <v/>
      </c>
      <c r="F20" s="2" t="str">
        <f>IF($B20="","",Sales_Record!E27)</f>
        <v/>
      </c>
      <c r="G20" s="36" t="str">
        <f>IF($B20="","",Sales_Record!H27)</f>
        <v/>
      </c>
      <c r="H20" s="5" t="str">
        <f>IF($B20="","",Sales_Record!I27)</f>
        <v/>
      </c>
      <c r="I20" s="51" t="str">
        <f>IF($B20="","",Sales_Record!J27)</f>
        <v/>
      </c>
      <c r="J20" s="2" t="str">
        <f>IF($B20="","",Sales_Record!F27)</f>
        <v/>
      </c>
    </row>
    <row r="21" spans="1:10" x14ac:dyDescent="0.2">
      <c r="A21" s="15" t="str">
        <f t="shared" si="0"/>
        <v/>
      </c>
      <c r="B21" s="3" t="str">
        <f>IF(Sales_Record!B28="","",Sales_Record!B28)</f>
        <v/>
      </c>
      <c r="C21" s="2" t="str">
        <f>IF($B21="","",Sales_Record!C28)</f>
        <v/>
      </c>
      <c r="D21" s="4" t="str">
        <f>IF($B21="","",Sales_Record!D28)</f>
        <v/>
      </c>
      <c r="E21" s="2" t="str">
        <f>IF($B21="","",Sales_Record!G28)</f>
        <v/>
      </c>
      <c r="F21" s="2" t="str">
        <f>IF($B21="","",Sales_Record!E28)</f>
        <v/>
      </c>
      <c r="G21" s="36" t="str">
        <f>IF($B21="","",Sales_Record!H28)</f>
        <v/>
      </c>
      <c r="H21" s="5" t="str">
        <f>IF($B21="","",Sales_Record!I28)</f>
        <v/>
      </c>
      <c r="I21" s="51" t="str">
        <f>IF($B21="","",Sales_Record!J28)</f>
        <v/>
      </c>
      <c r="J21" s="2" t="str">
        <f>IF($B21="","",Sales_Record!F28)</f>
        <v/>
      </c>
    </row>
    <row r="22" spans="1:10" x14ac:dyDescent="0.2">
      <c r="A22" s="15" t="str">
        <f t="shared" si="0"/>
        <v/>
      </c>
      <c r="B22" s="3" t="str">
        <f>IF(Sales_Record!B29="","",Sales_Record!B29)</f>
        <v/>
      </c>
      <c r="C22" s="2" t="str">
        <f>IF($B22="","",Sales_Record!C29)</f>
        <v/>
      </c>
      <c r="D22" s="4" t="str">
        <f>IF($B22="","",Sales_Record!D29)</f>
        <v/>
      </c>
      <c r="E22" s="2" t="str">
        <f>IF($B22="","",Sales_Record!G29)</f>
        <v/>
      </c>
      <c r="F22" s="2" t="str">
        <f>IF($B22="","",Sales_Record!E29)</f>
        <v/>
      </c>
      <c r="G22" s="36" t="str">
        <f>IF($B22="","",Sales_Record!H29)</f>
        <v/>
      </c>
      <c r="H22" s="5" t="str">
        <f>IF($B22="","",Sales_Record!I29)</f>
        <v/>
      </c>
      <c r="I22" s="51" t="str">
        <f>IF($B22="","",Sales_Record!J29)</f>
        <v/>
      </c>
      <c r="J22" s="2" t="str">
        <f>IF($B22="","",Sales_Record!F29)</f>
        <v/>
      </c>
    </row>
    <row r="23" spans="1:10" x14ac:dyDescent="0.2">
      <c r="A23" s="15" t="str">
        <f t="shared" si="0"/>
        <v/>
      </c>
      <c r="B23" s="3" t="str">
        <f>IF(Sales_Record!B30="","",Sales_Record!B30)</f>
        <v/>
      </c>
      <c r="C23" s="2" t="str">
        <f>IF($B23="","",Sales_Record!C30)</f>
        <v/>
      </c>
      <c r="D23" s="4" t="str">
        <f>IF($B23="","",Sales_Record!D30)</f>
        <v/>
      </c>
      <c r="E23" s="2" t="str">
        <f>IF($B23="","",Sales_Record!G30)</f>
        <v/>
      </c>
      <c r="F23" s="2" t="str">
        <f>IF($B23="","",Sales_Record!E30)</f>
        <v/>
      </c>
      <c r="G23" s="36" t="str">
        <f>IF($B23="","",Sales_Record!H30)</f>
        <v/>
      </c>
      <c r="H23" s="5" t="str">
        <f>IF($B23="","",Sales_Record!I30)</f>
        <v/>
      </c>
      <c r="I23" s="51" t="str">
        <f>IF($B23="","",Sales_Record!J30)</f>
        <v/>
      </c>
      <c r="J23" s="2" t="str">
        <f>IF($B23="","",Sales_Record!F30)</f>
        <v/>
      </c>
    </row>
    <row r="24" spans="1:10" x14ac:dyDescent="0.2">
      <c r="A24" s="15" t="str">
        <f t="shared" si="0"/>
        <v/>
      </c>
      <c r="B24" s="3" t="str">
        <f>IF(Sales_Record!B31="","",Sales_Record!B31)</f>
        <v/>
      </c>
      <c r="C24" s="2" t="str">
        <f>IF($B24="","",Sales_Record!C31)</f>
        <v/>
      </c>
      <c r="D24" s="4" t="str">
        <f>IF($B24="","",Sales_Record!D31)</f>
        <v/>
      </c>
      <c r="E24" s="2" t="str">
        <f>IF($B24="","",Sales_Record!G31)</f>
        <v/>
      </c>
      <c r="F24" s="2" t="str">
        <f>IF($B24="","",Sales_Record!E31)</f>
        <v/>
      </c>
      <c r="G24" s="36" t="str">
        <f>IF($B24="","",Sales_Record!H31)</f>
        <v/>
      </c>
      <c r="H24" s="5" t="str">
        <f>IF($B24="","",Sales_Record!I31)</f>
        <v/>
      </c>
      <c r="I24" s="51" t="str">
        <f>IF($B24="","",Sales_Record!J31)</f>
        <v/>
      </c>
      <c r="J24" s="2" t="str">
        <f>IF($B24="","",Sales_Record!F31)</f>
        <v/>
      </c>
    </row>
    <row r="25" spans="1:10" x14ac:dyDescent="0.2">
      <c r="A25" s="15" t="str">
        <f t="shared" si="0"/>
        <v/>
      </c>
      <c r="B25" s="3" t="str">
        <f>IF(Sales_Record!B32="","",Sales_Record!B32)</f>
        <v/>
      </c>
      <c r="C25" s="2" t="str">
        <f>IF($B25="","",Sales_Record!C32)</f>
        <v/>
      </c>
      <c r="D25" s="4" t="str">
        <f>IF($B25="","",Sales_Record!D32)</f>
        <v/>
      </c>
      <c r="E25" s="2" t="str">
        <f>IF($B25="","",Sales_Record!G32)</f>
        <v/>
      </c>
      <c r="F25" s="2" t="str">
        <f>IF($B25="","",Sales_Record!E32)</f>
        <v/>
      </c>
      <c r="G25" s="36" t="str">
        <f>IF($B25="","",Sales_Record!H32)</f>
        <v/>
      </c>
      <c r="H25" s="5" t="str">
        <f>IF($B25="","",Sales_Record!I32)</f>
        <v/>
      </c>
      <c r="I25" s="51" t="str">
        <f>IF($B25="","",Sales_Record!J32)</f>
        <v/>
      </c>
      <c r="J25" s="2" t="str">
        <f>IF($B25="","",Sales_Record!F32)</f>
        <v/>
      </c>
    </row>
    <row r="26" spans="1:10" x14ac:dyDescent="0.2">
      <c r="A26" s="15" t="str">
        <f t="shared" si="0"/>
        <v/>
      </c>
      <c r="B26" s="3" t="str">
        <f>IF(Sales_Record!B33="","",Sales_Record!B33)</f>
        <v/>
      </c>
      <c r="C26" s="2" t="str">
        <f>IF($B26="","",Sales_Record!C33)</f>
        <v/>
      </c>
      <c r="D26" s="4" t="str">
        <f>IF($B26="","",Sales_Record!D33)</f>
        <v/>
      </c>
      <c r="E26" s="2" t="str">
        <f>IF($B26="","",Sales_Record!G33)</f>
        <v/>
      </c>
      <c r="F26" s="2" t="str">
        <f>IF($B26="","",Sales_Record!E33)</f>
        <v/>
      </c>
      <c r="G26" s="36" t="str">
        <f>IF($B26="","",Sales_Record!H33)</f>
        <v/>
      </c>
      <c r="H26" s="5" t="str">
        <f>IF($B26="","",Sales_Record!I33)</f>
        <v/>
      </c>
      <c r="I26" s="51" t="str">
        <f>IF($B26="","",Sales_Record!J33)</f>
        <v/>
      </c>
      <c r="J26" s="2" t="str">
        <f>IF($B26="","",Sales_Record!F33)</f>
        <v/>
      </c>
    </row>
    <row r="27" spans="1:10" x14ac:dyDescent="0.2">
      <c r="A27" s="15" t="str">
        <f t="shared" si="0"/>
        <v/>
      </c>
      <c r="B27" s="3" t="str">
        <f>IF(Sales_Record!B34="","",Sales_Record!B34)</f>
        <v/>
      </c>
      <c r="C27" s="2" t="str">
        <f>IF($B27="","",Sales_Record!C34)</f>
        <v/>
      </c>
      <c r="D27" s="4" t="str">
        <f>IF($B27="","",Sales_Record!D34)</f>
        <v/>
      </c>
      <c r="E27" s="2" t="str">
        <f>IF($B27="","",Sales_Record!G34)</f>
        <v/>
      </c>
      <c r="F27" s="2" t="str">
        <f>IF($B27="","",Sales_Record!E34)</f>
        <v/>
      </c>
      <c r="G27" s="36" t="str">
        <f>IF($B27="","",Sales_Record!H34)</f>
        <v/>
      </c>
      <c r="H27" s="5" t="str">
        <f>IF($B27="","",Sales_Record!I34)</f>
        <v/>
      </c>
      <c r="I27" s="51" t="str">
        <f>IF($B27="","",Sales_Record!J34)</f>
        <v/>
      </c>
      <c r="J27" s="2" t="str">
        <f>IF($B27="","",Sales_Record!F34)</f>
        <v/>
      </c>
    </row>
    <row r="28" spans="1:10" x14ac:dyDescent="0.2">
      <c r="A28" s="15" t="str">
        <f t="shared" si="0"/>
        <v/>
      </c>
      <c r="B28" s="3" t="str">
        <f>IF(Sales_Record!B35="","",Sales_Record!B35)</f>
        <v/>
      </c>
      <c r="C28" s="2" t="str">
        <f>IF($B28="","",Sales_Record!C35)</f>
        <v/>
      </c>
      <c r="D28" s="4" t="str">
        <f>IF($B28="","",Sales_Record!D35)</f>
        <v/>
      </c>
      <c r="E28" s="2" t="str">
        <f>IF($B28="","",Sales_Record!G35)</f>
        <v/>
      </c>
      <c r="F28" s="2" t="str">
        <f>IF($B28="","",Sales_Record!E35)</f>
        <v/>
      </c>
      <c r="G28" s="36" t="str">
        <f>IF($B28="","",Sales_Record!H35)</f>
        <v/>
      </c>
      <c r="H28" s="5" t="str">
        <f>IF($B28="","",Sales_Record!I35)</f>
        <v/>
      </c>
      <c r="I28" s="51" t="str">
        <f>IF($B28="","",Sales_Record!J35)</f>
        <v/>
      </c>
      <c r="J28" s="2" t="str">
        <f>IF($B28="","",Sales_Record!F35)</f>
        <v/>
      </c>
    </row>
    <row r="29" spans="1:10" x14ac:dyDescent="0.2">
      <c r="A29" s="15" t="str">
        <f t="shared" si="0"/>
        <v/>
      </c>
      <c r="B29" s="3" t="str">
        <f>IF(Sales_Record!B36="","",Sales_Record!B36)</f>
        <v/>
      </c>
      <c r="C29" s="2" t="str">
        <f>IF($B29="","",Sales_Record!C36)</f>
        <v/>
      </c>
      <c r="D29" s="4" t="str">
        <f>IF($B29="","",Sales_Record!D36)</f>
        <v/>
      </c>
      <c r="E29" s="2" t="str">
        <f>IF($B29="","",Sales_Record!G36)</f>
        <v/>
      </c>
      <c r="F29" s="2" t="str">
        <f>IF($B29="","",Sales_Record!E36)</f>
        <v/>
      </c>
      <c r="G29" s="36" t="str">
        <f>IF($B29="","",Sales_Record!H36)</f>
        <v/>
      </c>
      <c r="H29" s="5" t="str">
        <f>IF($B29="","",Sales_Record!I36)</f>
        <v/>
      </c>
      <c r="I29" s="51" t="str">
        <f>IF($B29="","",Sales_Record!J36)</f>
        <v/>
      </c>
      <c r="J29" s="2" t="str">
        <f>IF($B29="","",Sales_Record!F36)</f>
        <v/>
      </c>
    </row>
    <row r="30" spans="1:10" x14ac:dyDescent="0.2">
      <c r="A30" s="15" t="str">
        <f t="shared" si="0"/>
        <v/>
      </c>
      <c r="B30" s="3" t="str">
        <f>IF(Sales_Record!B37="","",Sales_Record!B37)</f>
        <v/>
      </c>
      <c r="C30" s="2" t="str">
        <f>IF($B30="","",Sales_Record!C37)</f>
        <v/>
      </c>
      <c r="D30" s="4" t="str">
        <f>IF($B30="","",Sales_Record!D37)</f>
        <v/>
      </c>
      <c r="E30" s="2" t="str">
        <f>IF($B30="","",Sales_Record!G37)</f>
        <v/>
      </c>
      <c r="F30" s="2" t="str">
        <f>IF($B30="","",Sales_Record!E37)</f>
        <v/>
      </c>
      <c r="G30" s="36" t="str">
        <f>IF($B30="","",Sales_Record!H37)</f>
        <v/>
      </c>
      <c r="H30" s="5" t="str">
        <f>IF($B30="","",Sales_Record!I37)</f>
        <v/>
      </c>
      <c r="I30" s="51" t="str">
        <f>IF($B30="","",Sales_Record!J37)</f>
        <v/>
      </c>
      <c r="J30" s="2" t="str">
        <f>IF($B30="","",Sales_Record!F37)</f>
        <v/>
      </c>
    </row>
    <row r="31" spans="1:10" x14ac:dyDescent="0.2">
      <c r="A31" s="15" t="str">
        <f t="shared" si="0"/>
        <v/>
      </c>
      <c r="B31" s="3" t="str">
        <f>IF(Sales_Record!B38="","",Sales_Record!B38)</f>
        <v/>
      </c>
      <c r="C31" s="2" t="str">
        <f>IF($B31="","",Sales_Record!C38)</f>
        <v/>
      </c>
      <c r="D31" s="4" t="str">
        <f>IF($B31="","",Sales_Record!D38)</f>
        <v/>
      </c>
      <c r="E31" s="2" t="str">
        <f>IF($B31="","",Sales_Record!G38)</f>
        <v/>
      </c>
      <c r="F31" s="2" t="str">
        <f>IF($B31="","",Sales_Record!E38)</f>
        <v/>
      </c>
      <c r="G31" s="36" t="str">
        <f>IF($B31="","",Sales_Record!H38)</f>
        <v/>
      </c>
      <c r="H31" s="5" t="str">
        <f>IF($B31="","",Sales_Record!I38)</f>
        <v/>
      </c>
      <c r="I31" s="51" t="str">
        <f>IF($B31="","",Sales_Record!J38)</f>
        <v/>
      </c>
      <c r="J31" s="2" t="str">
        <f>IF($B31="","",Sales_Record!F38)</f>
        <v/>
      </c>
    </row>
    <row r="32" spans="1:10" x14ac:dyDescent="0.2">
      <c r="A32" s="15" t="str">
        <f t="shared" si="0"/>
        <v/>
      </c>
      <c r="B32" s="3" t="str">
        <f>IF(Sales_Record!B39="","",Sales_Record!B39)</f>
        <v/>
      </c>
      <c r="C32" s="2" t="str">
        <f>IF($B32="","",Sales_Record!C39)</f>
        <v/>
      </c>
      <c r="D32" s="4" t="str">
        <f>IF($B32="","",Sales_Record!D39)</f>
        <v/>
      </c>
      <c r="E32" s="2" t="str">
        <f>IF($B32="","",Sales_Record!G39)</f>
        <v/>
      </c>
      <c r="F32" s="2" t="str">
        <f>IF($B32="","",Sales_Record!E39)</f>
        <v/>
      </c>
      <c r="G32" s="36" t="str">
        <f>IF($B32="","",Sales_Record!H39)</f>
        <v/>
      </c>
      <c r="H32" s="5" t="str">
        <f>IF($B32="","",Sales_Record!I39)</f>
        <v/>
      </c>
      <c r="I32" s="51" t="str">
        <f>IF($B32="","",Sales_Record!J39)</f>
        <v/>
      </c>
      <c r="J32" s="2" t="str">
        <f>IF($B32="","",Sales_Record!F39)</f>
        <v/>
      </c>
    </row>
    <row r="33" spans="1:10" x14ac:dyDescent="0.2">
      <c r="A33" s="15" t="str">
        <f t="shared" si="0"/>
        <v/>
      </c>
      <c r="B33" s="3" t="str">
        <f>IF(Sales_Record!B40="","",Sales_Record!B40)</f>
        <v/>
      </c>
      <c r="C33" s="2" t="str">
        <f>IF($B33="","",Sales_Record!C40)</f>
        <v/>
      </c>
      <c r="D33" s="4" t="str">
        <f>IF($B33="","",Sales_Record!D40)</f>
        <v/>
      </c>
      <c r="E33" s="2" t="str">
        <f>IF($B33="","",Sales_Record!G40)</f>
        <v/>
      </c>
      <c r="F33" s="2" t="str">
        <f>IF($B33="","",Sales_Record!E40)</f>
        <v/>
      </c>
      <c r="G33" s="36" t="str">
        <f>IF($B33="","",Sales_Record!H40)</f>
        <v/>
      </c>
      <c r="H33" s="5" t="str">
        <f>IF($B33="","",Sales_Record!I40)</f>
        <v/>
      </c>
      <c r="I33" s="51" t="str">
        <f>IF($B33="","",Sales_Record!J40)</f>
        <v/>
      </c>
      <c r="J33" s="2" t="str">
        <f>IF($B33="","",Sales_Record!F40)</f>
        <v/>
      </c>
    </row>
    <row r="34" spans="1:10" x14ac:dyDescent="0.2">
      <c r="A34" s="15" t="str">
        <f t="shared" si="0"/>
        <v/>
      </c>
      <c r="B34" s="3" t="str">
        <f>IF(Sales_Record!B41="","",Sales_Record!B41)</f>
        <v/>
      </c>
      <c r="C34" s="2" t="str">
        <f>IF($B34="","",Sales_Record!C41)</f>
        <v/>
      </c>
      <c r="D34" s="4" t="str">
        <f>IF($B34="","",Sales_Record!D41)</f>
        <v/>
      </c>
      <c r="E34" s="2" t="str">
        <f>IF($B34="","",Sales_Record!G41)</f>
        <v/>
      </c>
      <c r="F34" s="2" t="str">
        <f>IF($B34="","",Sales_Record!E41)</f>
        <v/>
      </c>
      <c r="G34" s="36" t="str">
        <f>IF($B34="","",Sales_Record!H41)</f>
        <v/>
      </c>
      <c r="H34" s="5" t="str">
        <f>IF($B34="","",Sales_Record!I41)</f>
        <v/>
      </c>
      <c r="I34" s="51" t="str">
        <f>IF($B34="","",Sales_Record!J41)</f>
        <v/>
      </c>
      <c r="J34" s="2" t="str">
        <f>IF($B34="","",Sales_Record!F41)</f>
        <v/>
      </c>
    </row>
    <row r="35" spans="1:10" x14ac:dyDescent="0.2">
      <c r="A35" s="15" t="str">
        <f t="shared" si="0"/>
        <v/>
      </c>
      <c r="B35" s="3" t="str">
        <f>IF(Sales_Record!B42="","",Sales_Record!B42)</f>
        <v/>
      </c>
      <c r="C35" s="2" t="str">
        <f>IF($B35="","",Sales_Record!C42)</f>
        <v/>
      </c>
      <c r="D35" s="4" t="str">
        <f>IF($B35="","",Sales_Record!D42)</f>
        <v/>
      </c>
      <c r="E35" s="2" t="str">
        <f>IF($B35="","",Sales_Record!G42)</f>
        <v/>
      </c>
      <c r="F35" s="2" t="str">
        <f>IF($B35="","",Sales_Record!E42)</f>
        <v/>
      </c>
      <c r="G35" s="36" t="str">
        <f>IF($B35="","",Sales_Record!H42)</f>
        <v/>
      </c>
      <c r="H35" s="5" t="str">
        <f>IF($B35="","",Sales_Record!I42)</f>
        <v/>
      </c>
      <c r="I35" s="51" t="str">
        <f>IF($B35="","",Sales_Record!J42)</f>
        <v/>
      </c>
      <c r="J35" s="2" t="str">
        <f>IF($B35="","",Sales_Record!F42)</f>
        <v/>
      </c>
    </row>
    <row r="36" spans="1:10" x14ac:dyDescent="0.2">
      <c r="A36" s="15" t="str">
        <f t="shared" si="0"/>
        <v/>
      </c>
      <c r="B36" s="3" t="str">
        <f>IF(Sales_Record!B43="","",Sales_Record!B43)</f>
        <v/>
      </c>
      <c r="C36" s="2" t="str">
        <f>IF($B36="","",Sales_Record!C43)</f>
        <v/>
      </c>
      <c r="D36" s="4" t="str">
        <f>IF($B36="","",Sales_Record!D43)</f>
        <v/>
      </c>
      <c r="E36" s="2" t="str">
        <f>IF($B36="","",Sales_Record!G43)</f>
        <v/>
      </c>
      <c r="F36" s="2" t="str">
        <f>IF($B36="","",Sales_Record!E43)</f>
        <v/>
      </c>
      <c r="G36" s="36" t="str">
        <f>IF($B36="","",Sales_Record!H43)</f>
        <v/>
      </c>
      <c r="H36" s="5" t="str">
        <f>IF($B36="","",Sales_Record!I43)</f>
        <v/>
      </c>
      <c r="I36" s="51" t="str">
        <f>IF($B36="","",Sales_Record!J43)</f>
        <v/>
      </c>
      <c r="J36" s="2" t="str">
        <f>IF($B36="","",Sales_Record!F43)</f>
        <v/>
      </c>
    </row>
    <row r="37" spans="1:10" x14ac:dyDescent="0.2">
      <c r="A37" s="15" t="str">
        <f t="shared" si="0"/>
        <v/>
      </c>
      <c r="B37" s="3" t="str">
        <f>IF(Sales_Record!B44="","",Sales_Record!B44)</f>
        <v/>
      </c>
      <c r="C37" s="2" t="str">
        <f>IF($B37="","",Sales_Record!C44)</f>
        <v/>
      </c>
      <c r="D37" s="4" t="str">
        <f>IF($B37="","",Sales_Record!D44)</f>
        <v/>
      </c>
      <c r="E37" s="2" t="str">
        <f>IF($B37="","",Sales_Record!G44)</f>
        <v/>
      </c>
      <c r="F37" s="2" t="str">
        <f>IF($B37="","",Sales_Record!E44)</f>
        <v/>
      </c>
      <c r="G37" s="36" t="str">
        <f>IF($B37="","",Sales_Record!H44)</f>
        <v/>
      </c>
      <c r="H37" s="5" t="str">
        <f>IF($B37="","",Sales_Record!I44)</f>
        <v/>
      </c>
      <c r="I37" s="51" t="str">
        <f>IF($B37="","",Sales_Record!J44)</f>
        <v/>
      </c>
      <c r="J37" s="2" t="str">
        <f>IF($B37="","",Sales_Record!F44)</f>
        <v/>
      </c>
    </row>
    <row r="38" spans="1:10" x14ac:dyDescent="0.2">
      <c r="A38" s="15" t="str">
        <f t="shared" si="0"/>
        <v/>
      </c>
      <c r="B38" s="3" t="str">
        <f>IF(Sales_Record!B45="","",Sales_Record!B45)</f>
        <v/>
      </c>
      <c r="C38" s="2" t="str">
        <f>IF($B38="","",Sales_Record!C45)</f>
        <v/>
      </c>
      <c r="D38" s="4" t="str">
        <f>IF($B38="","",Sales_Record!D45)</f>
        <v/>
      </c>
      <c r="E38" s="2" t="str">
        <f>IF($B38="","",Sales_Record!G45)</f>
        <v/>
      </c>
      <c r="F38" s="2" t="str">
        <f>IF($B38="","",Sales_Record!E45)</f>
        <v/>
      </c>
      <c r="G38" s="36" t="str">
        <f>IF($B38="","",Sales_Record!H45)</f>
        <v/>
      </c>
      <c r="H38" s="5" t="str">
        <f>IF($B38="","",Sales_Record!I45)</f>
        <v/>
      </c>
      <c r="I38" s="51" t="str">
        <f>IF($B38="","",Sales_Record!J45)</f>
        <v/>
      </c>
      <c r="J38" s="2" t="str">
        <f>IF($B38="","",Sales_Record!F45)</f>
        <v/>
      </c>
    </row>
    <row r="39" spans="1:10" x14ac:dyDescent="0.2">
      <c r="A39" s="15" t="str">
        <f t="shared" si="0"/>
        <v/>
      </c>
      <c r="B39" s="3" t="str">
        <f>IF(Sales_Record!B46="","",Sales_Record!B46)</f>
        <v/>
      </c>
      <c r="C39" s="2" t="str">
        <f>IF($B39="","",Sales_Record!C46)</f>
        <v/>
      </c>
      <c r="D39" s="4" t="str">
        <f>IF($B39="","",Sales_Record!D46)</f>
        <v/>
      </c>
      <c r="E39" s="2" t="str">
        <f>IF($B39="","",Sales_Record!G46)</f>
        <v/>
      </c>
      <c r="F39" s="2" t="str">
        <f>IF($B39="","",Sales_Record!E46)</f>
        <v/>
      </c>
      <c r="G39" s="36" t="str">
        <f>IF($B39="","",Sales_Record!H46)</f>
        <v/>
      </c>
      <c r="H39" s="5" t="str">
        <f>IF($B39="","",Sales_Record!I46)</f>
        <v/>
      </c>
      <c r="I39" s="51" t="str">
        <f>IF($B39="","",Sales_Record!J46)</f>
        <v/>
      </c>
      <c r="J39" s="2" t="str">
        <f>IF($B39="","",Sales_Record!F46)</f>
        <v/>
      </c>
    </row>
    <row r="40" spans="1:10" x14ac:dyDescent="0.2">
      <c r="A40" s="15" t="str">
        <f t="shared" si="0"/>
        <v/>
      </c>
      <c r="B40" s="3" t="str">
        <f>IF(Sales_Record!B47="","",Sales_Record!B47)</f>
        <v/>
      </c>
      <c r="C40" s="2" t="str">
        <f>IF($B40="","",Sales_Record!C47)</f>
        <v/>
      </c>
      <c r="D40" s="4" t="str">
        <f>IF($B40="","",Sales_Record!D47)</f>
        <v/>
      </c>
      <c r="E40" s="2" t="str">
        <f>IF($B40="","",Sales_Record!G47)</f>
        <v/>
      </c>
      <c r="F40" s="2" t="str">
        <f>IF($B40="","",Sales_Record!E47)</f>
        <v/>
      </c>
      <c r="G40" s="36" t="str">
        <f>IF($B40="","",Sales_Record!H47)</f>
        <v/>
      </c>
      <c r="H40" s="5" t="str">
        <f>IF($B40="","",Sales_Record!I47)</f>
        <v/>
      </c>
      <c r="I40" s="51" t="str">
        <f>IF($B40="","",Sales_Record!J47)</f>
        <v/>
      </c>
      <c r="J40" s="2" t="str">
        <f>IF($B40="","",Sales_Record!F47)</f>
        <v/>
      </c>
    </row>
    <row r="41" spans="1:10" x14ac:dyDescent="0.2">
      <c r="A41" s="15" t="str">
        <f t="shared" si="0"/>
        <v/>
      </c>
      <c r="B41" s="3" t="str">
        <f>IF(Sales_Record!B48="","",Sales_Record!B48)</f>
        <v/>
      </c>
      <c r="C41" s="2" t="str">
        <f>IF($B41="","",Sales_Record!C48)</f>
        <v/>
      </c>
      <c r="D41" s="4" t="str">
        <f>IF($B41="","",Sales_Record!D48)</f>
        <v/>
      </c>
      <c r="E41" s="2" t="str">
        <f>IF($B41="","",Sales_Record!G48)</f>
        <v/>
      </c>
      <c r="F41" s="2" t="str">
        <f>IF($B41="","",Sales_Record!E48)</f>
        <v/>
      </c>
      <c r="G41" s="36" t="str">
        <f>IF($B41="","",Sales_Record!H48)</f>
        <v/>
      </c>
      <c r="H41" s="5" t="str">
        <f>IF($B41="","",Sales_Record!I48)</f>
        <v/>
      </c>
      <c r="I41" s="51" t="str">
        <f>IF($B41="","",Sales_Record!J48)</f>
        <v/>
      </c>
      <c r="J41" s="2" t="str">
        <f>IF($B41="","",Sales_Record!F48)</f>
        <v/>
      </c>
    </row>
    <row r="42" spans="1:10" x14ac:dyDescent="0.2">
      <c r="A42" s="15" t="str">
        <f t="shared" si="0"/>
        <v/>
      </c>
      <c r="B42" s="3" t="str">
        <f>IF(Sales_Record!B49="","",Sales_Record!B49)</f>
        <v/>
      </c>
      <c r="C42" s="2" t="str">
        <f>IF($B42="","",Sales_Record!C49)</f>
        <v/>
      </c>
      <c r="D42" s="4" t="str">
        <f>IF($B42="","",Sales_Record!D49)</f>
        <v/>
      </c>
      <c r="E42" s="2" t="str">
        <f>IF($B42="","",Sales_Record!G49)</f>
        <v/>
      </c>
      <c r="F42" s="2" t="str">
        <f>IF($B42="","",Sales_Record!E49)</f>
        <v/>
      </c>
      <c r="G42" s="36" t="str">
        <f>IF($B42="","",Sales_Record!H49)</f>
        <v/>
      </c>
      <c r="H42" s="5" t="str">
        <f>IF($B42="","",Sales_Record!I49)</f>
        <v/>
      </c>
      <c r="I42" s="51" t="str">
        <f>IF($B42="","",Sales_Record!J49)</f>
        <v/>
      </c>
      <c r="J42" s="2" t="str">
        <f>IF($B42="","",Sales_Record!F49)</f>
        <v/>
      </c>
    </row>
    <row r="43" spans="1:10" x14ac:dyDescent="0.2">
      <c r="A43" s="15" t="str">
        <f t="shared" si="0"/>
        <v/>
      </c>
      <c r="B43" s="3" t="str">
        <f>IF(Sales_Record!B50="","",Sales_Record!B50)</f>
        <v/>
      </c>
      <c r="C43" s="2" t="str">
        <f>IF($B43="","",Sales_Record!C50)</f>
        <v/>
      </c>
      <c r="D43" s="4" t="str">
        <f>IF($B43="","",Sales_Record!D50)</f>
        <v/>
      </c>
      <c r="E43" s="2" t="str">
        <f>IF($B43="","",Sales_Record!G50)</f>
        <v/>
      </c>
      <c r="F43" s="2" t="str">
        <f>IF($B43="","",Sales_Record!E50)</f>
        <v/>
      </c>
      <c r="G43" s="36" t="str">
        <f>IF($B43="","",Sales_Record!H50)</f>
        <v/>
      </c>
      <c r="H43" s="5" t="str">
        <f>IF($B43="","",Sales_Record!I50)</f>
        <v/>
      </c>
      <c r="I43" s="51" t="str">
        <f>IF($B43="","",Sales_Record!J50)</f>
        <v/>
      </c>
      <c r="J43" s="2" t="str">
        <f>IF($B43="","",Sales_Record!F50)</f>
        <v/>
      </c>
    </row>
    <row r="44" spans="1:10" x14ac:dyDescent="0.2">
      <c r="A44" s="15" t="str">
        <f t="shared" si="0"/>
        <v/>
      </c>
      <c r="B44" s="3" t="str">
        <f>IF(Sales_Record!B51="","",Sales_Record!B51)</f>
        <v/>
      </c>
      <c r="C44" s="2" t="str">
        <f>IF($B44="","",Sales_Record!C51)</f>
        <v/>
      </c>
      <c r="D44" s="4" t="str">
        <f>IF($B44="","",Sales_Record!D51)</f>
        <v/>
      </c>
      <c r="E44" s="2" t="str">
        <f>IF($B44="","",Sales_Record!G51)</f>
        <v/>
      </c>
      <c r="F44" s="2" t="str">
        <f>IF($B44="","",Sales_Record!E51)</f>
        <v/>
      </c>
      <c r="G44" s="36" t="str">
        <f>IF($B44="","",Sales_Record!H51)</f>
        <v/>
      </c>
      <c r="H44" s="5" t="str">
        <f>IF($B44="","",Sales_Record!I51)</f>
        <v/>
      </c>
      <c r="I44" s="51" t="str">
        <f>IF($B44="","",Sales_Record!J51)</f>
        <v/>
      </c>
      <c r="J44" s="2" t="str">
        <f>IF($B44="","",Sales_Record!F51)</f>
        <v/>
      </c>
    </row>
    <row r="45" spans="1:10" x14ac:dyDescent="0.2">
      <c r="A45" s="15" t="str">
        <f t="shared" si="0"/>
        <v/>
      </c>
      <c r="B45" s="3" t="str">
        <f>IF(Sales_Record!B52="","",Sales_Record!B52)</f>
        <v/>
      </c>
      <c r="C45" s="2" t="str">
        <f>IF($B45="","",Sales_Record!C52)</f>
        <v/>
      </c>
      <c r="D45" s="4" t="str">
        <f>IF($B45="","",Sales_Record!D52)</f>
        <v/>
      </c>
      <c r="E45" s="2" t="str">
        <f>IF($B45="","",Sales_Record!G52)</f>
        <v/>
      </c>
      <c r="F45" s="2" t="str">
        <f>IF($B45="","",Sales_Record!E52)</f>
        <v/>
      </c>
      <c r="G45" s="36" t="str">
        <f>IF($B45="","",Sales_Record!H52)</f>
        <v/>
      </c>
      <c r="H45" s="5" t="str">
        <f>IF($B45="","",Sales_Record!I52)</f>
        <v/>
      </c>
      <c r="I45" s="51" t="str">
        <f>IF($B45="","",Sales_Record!J52)</f>
        <v/>
      </c>
      <c r="J45" s="2" t="str">
        <f>IF($B45="","",Sales_Record!F52)</f>
        <v/>
      </c>
    </row>
    <row r="46" spans="1:10" x14ac:dyDescent="0.2">
      <c r="A46" s="74" t="s">
        <v>96</v>
      </c>
      <c r="B46" s="80"/>
      <c r="C46" s="80"/>
      <c r="D46" s="80"/>
      <c r="E46" s="80"/>
      <c r="F46" s="75"/>
      <c r="G46" s="42">
        <f>SUM(G6:G45)</f>
        <v>0</v>
      </c>
      <c r="H46" s="52">
        <f>COUNT(A6:A45)</f>
        <v>0</v>
      </c>
      <c r="I46" s="42">
        <f>SUM(I6:I45)</f>
        <v>0</v>
      </c>
      <c r="J46" s="41"/>
    </row>
    <row r="49" spans="1:6" ht="18" customHeight="1" x14ac:dyDescent="0.2">
      <c r="A49" s="60" t="s">
        <v>66</v>
      </c>
      <c r="B49" s="61"/>
      <c r="C49" s="61"/>
      <c r="D49" s="61"/>
      <c r="E49" s="61"/>
      <c r="F49" s="61"/>
    </row>
    <row r="50" spans="1:6" ht="15" customHeight="1" x14ac:dyDescent="0.2">
      <c r="A50" s="58" t="s">
        <v>97</v>
      </c>
      <c r="B50" s="59"/>
      <c r="C50" s="59"/>
      <c r="D50" s="59"/>
      <c r="E50" s="59"/>
      <c r="F50" s="59"/>
    </row>
    <row r="51" spans="1:6" ht="15" customHeight="1" x14ac:dyDescent="0.2">
      <c r="A51" s="58" t="s">
        <v>98</v>
      </c>
      <c r="B51" s="59"/>
      <c r="C51" s="59"/>
      <c r="D51" s="59"/>
      <c r="E51" s="59"/>
      <c r="F51" s="59"/>
    </row>
    <row r="52" spans="1:6" ht="15" customHeight="1" x14ac:dyDescent="0.2">
      <c r="A52" s="58" t="s">
        <v>99</v>
      </c>
      <c r="B52" s="59"/>
      <c r="C52" s="59"/>
      <c r="D52" s="59"/>
      <c r="E52" s="59"/>
      <c r="F52" s="59"/>
    </row>
    <row r="53" spans="1:6" ht="15" customHeight="1" x14ac:dyDescent="0.2">
      <c r="A53" s="58" t="s">
        <v>100</v>
      </c>
      <c r="B53" s="59"/>
      <c r="C53" s="59"/>
      <c r="D53" s="59"/>
      <c r="E53" s="59"/>
      <c r="F53" s="59"/>
    </row>
  </sheetData>
  <sheetProtection sheet="1"/>
  <mergeCells count="10">
    <mergeCell ref="A53:F53"/>
    <mergeCell ref="A49:F49"/>
    <mergeCell ref="A52:F52"/>
    <mergeCell ref="A51:F51"/>
    <mergeCell ref="A46:F46"/>
    <mergeCell ref="C1:J1"/>
    <mergeCell ref="A3:J3"/>
    <mergeCell ref="C2:J2"/>
    <mergeCell ref="A50:F50"/>
    <mergeCell ref="A1:B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G27"/>
  <sheetViews>
    <sheetView showGridLines="0" workbookViewId="0"/>
  </sheetViews>
  <sheetFormatPr baseColWidth="10" defaultColWidth="8.83203125" defaultRowHeight="15" x14ac:dyDescent="0.2"/>
  <cols>
    <col min="1" max="1" width="4" customWidth="1"/>
    <col min="2" max="2" width="22" customWidth="1"/>
    <col min="3" max="7" width="16" customWidth="1"/>
  </cols>
  <sheetData>
    <row r="1" spans="2:7" ht="20" x14ac:dyDescent="0.2">
      <c r="B1" s="82" t="s">
        <v>101</v>
      </c>
      <c r="C1" s="59"/>
      <c r="D1" s="59"/>
      <c r="E1" s="59"/>
      <c r="F1" s="59"/>
      <c r="G1" s="59"/>
    </row>
    <row r="2" spans="2:7" x14ac:dyDescent="0.2">
      <c r="B2" s="81" t="s">
        <v>102</v>
      </c>
      <c r="C2" s="59"/>
      <c r="D2" s="59"/>
      <c r="E2" s="59"/>
      <c r="F2" s="59"/>
      <c r="G2" s="59"/>
    </row>
    <row r="4" spans="2:7" ht="30" customHeight="1" x14ac:dyDescent="0.2">
      <c r="B4" s="50" t="s">
        <v>103</v>
      </c>
      <c r="C4" s="50" t="s">
        <v>104</v>
      </c>
      <c r="D4" s="50" t="s">
        <v>105</v>
      </c>
      <c r="E4" s="50" t="s">
        <v>106</v>
      </c>
      <c r="F4" s="50" t="s">
        <v>107</v>
      </c>
      <c r="G4" s="50" t="s">
        <v>108</v>
      </c>
    </row>
    <row r="5" spans="2:7" x14ac:dyDescent="0.2">
      <c r="B5" s="13" t="str">
        <f>IF(ทีมขาย!A6="","",ทีมขาย!A6)</f>
        <v>MIZTEEN</v>
      </c>
      <c r="C5" s="14">
        <f>IF($B5="","",ทีมขาย!D6)</f>
        <v>0</v>
      </c>
      <c r="D5" s="9">
        <f>IF($B5="","",ทีมขาย!E6)</f>
        <v>7794</v>
      </c>
      <c r="E5" s="53">
        <f>IF($B5="","",ทีมขาย!F6)</f>
        <v>779.40000000000009</v>
      </c>
      <c r="F5" s="9">
        <f>IF($B5="","",ทีมขาย!G6)</f>
        <v>779.40000000000009</v>
      </c>
      <c r="G5" s="9">
        <f>IF($B5="","",ทีมขาย!H6)</f>
        <v>0</v>
      </c>
    </row>
    <row r="6" spans="2:7" x14ac:dyDescent="0.2">
      <c r="B6" s="13" t="str">
        <f>IF(ทีมขาย!A7="","",ทีมขาย!A7)</f>
        <v>OLIVE</v>
      </c>
      <c r="C6" s="14">
        <f>IF($B6="","",ทีมขาย!D7)</f>
        <v>0</v>
      </c>
      <c r="D6" s="9">
        <f>IF($B6="","",ทีมขาย!E7)</f>
        <v>4676.3999999999996</v>
      </c>
      <c r="E6" s="53">
        <f>IF($B6="","",ทีมขาย!F7)</f>
        <v>467.64000000000004</v>
      </c>
      <c r="F6" s="9">
        <f>IF($B6="","",ทีมขาย!G7)</f>
        <v>467.64000000000004</v>
      </c>
      <c r="G6" s="9">
        <f>IF($B6="","",ทีมขาย!H7)</f>
        <v>0</v>
      </c>
    </row>
    <row r="7" spans="2:7" x14ac:dyDescent="0.2">
      <c r="B7" s="13" t="str">
        <f>IF(ทีมขาย!A8="","",ทีมขาย!A8)</f>
        <v>SUPPORT</v>
      </c>
      <c r="C7" s="14">
        <f>IF($B7="","",ทีมขาย!D8)</f>
        <v>0</v>
      </c>
      <c r="D7" s="9">
        <f>IF($B7="","",ทีมขาย!E8)</f>
        <v>3117.6000000000004</v>
      </c>
      <c r="E7" s="53">
        <f>IF($B7="","",ทีมขาย!F8)</f>
        <v>311.76000000000005</v>
      </c>
      <c r="F7" s="9">
        <f>IF($B7="","",ทีมขาย!G8)</f>
        <v>311.76000000000005</v>
      </c>
      <c r="G7" s="9">
        <f>IF($B7="","",ทีมขาย!H8)</f>
        <v>0</v>
      </c>
    </row>
    <row r="8" spans="2:7" x14ac:dyDescent="0.2">
      <c r="B8" s="13" t="str">
        <f>IF(ทีมขาย!A9="","",ทีมขาย!A9)</f>
        <v/>
      </c>
      <c r="C8" s="14" t="str">
        <f>IF($B8="","",ทีมขาย!D9)</f>
        <v/>
      </c>
      <c r="D8" s="9" t="str">
        <f>IF($B8="","",ทีมขาย!E9)</f>
        <v/>
      </c>
      <c r="E8" s="53" t="str">
        <f>IF($B8="","",ทีมขาย!F9)</f>
        <v/>
      </c>
      <c r="F8" s="9" t="str">
        <f>IF($B8="","",ทีมขาย!G9)</f>
        <v/>
      </c>
      <c r="G8" s="9" t="str">
        <f>IF($B8="","",ทีมขาย!H9)</f>
        <v/>
      </c>
    </row>
    <row r="9" spans="2:7" x14ac:dyDescent="0.2">
      <c r="B9" s="13" t="str">
        <f>IF(ทีมขาย!A10="","",ทีมขาย!A10)</f>
        <v/>
      </c>
      <c r="C9" s="14" t="str">
        <f>IF($B9="","",ทีมขาย!D10)</f>
        <v/>
      </c>
      <c r="D9" s="9" t="str">
        <f>IF($B9="","",ทีมขาย!E10)</f>
        <v/>
      </c>
      <c r="E9" s="53" t="str">
        <f>IF($B9="","",ทีมขาย!F10)</f>
        <v/>
      </c>
      <c r="F9" s="9" t="str">
        <f>IF($B9="","",ทีมขาย!G10)</f>
        <v/>
      </c>
      <c r="G9" s="9" t="str">
        <f>IF($B9="","",ทีมขาย!H10)</f>
        <v/>
      </c>
    </row>
    <row r="10" spans="2:7" x14ac:dyDescent="0.2">
      <c r="B10" s="13" t="str">
        <f>IF(ทีมขาย!A11="","",ทีมขาย!A11)</f>
        <v/>
      </c>
      <c r="C10" s="14" t="str">
        <f>IF($B10="","",ทีมขาย!D11)</f>
        <v/>
      </c>
      <c r="D10" s="9" t="str">
        <f>IF($B10="","",ทีมขาย!E11)</f>
        <v/>
      </c>
      <c r="E10" s="53" t="str">
        <f>IF($B10="","",ทีมขาย!F11)</f>
        <v/>
      </c>
      <c r="F10" s="9" t="str">
        <f>IF($B10="","",ทีมขาย!G11)</f>
        <v/>
      </c>
      <c r="G10" s="9" t="str">
        <f>IF($B10="","",ทีมขาย!H11)</f>
        <v/>
      </c>
    </row>
    <row r="11" spans="2:7" x14ac:dyDescent="0.2">
      <c r="B11" s="13" t="str">
        <f>IF(ทีมขาย!A12="","",ทีมขาย!A12)</f>
        <v/>
      </c>
      <c r="C11" s="14" t="str">
        <f>IF($B11="","",ทีมขาย!D12)</f>
        <v/>
      </c>
      <c r="D11" s="9" t="str">
        <f>IF($B11="","",ทีมขาย!E12)</f>
        <v/>
      </c>
      <c r="E11" s="53" t="str">
        <f>IF($B11="","",ทีมขาย!F12)</f>
        <v/>
      </c>
      <c r="F11" s="9" t="str">
        <f>IF($B11="","",ทีมขาย!G12)</f>
        <v/>
      </c>
      <c r="G11" s="9" t="str">
        <f>IF($B11="","",ทีมขาย!H12)</f>
        <v/>
      </c>
    </row>
    <row r="12" spans="2:7" x14ac:dyDescent="0.2">
      <c r="B12" s="13" t="str">
        <f>IF(ทีมขาย!A13="","",ทีมขาย!A13)</f>
        <v/>
      </c>
      <c r="C12" s="14" t="str">
        <f>IF($B12="","",ทีมขาย!D13)</f>
        <v/>
      </c>
      <c r="D12" s="9" t="str">
        <f>IF($B12="","",ทีมขาย!E13)</f>
        <v/>
      </c>
      <c r="E12" s="53" t="str">
        <f>IF($B12="","",ทีมขาย!F13)</f>
        <v/>
      </c>
      <c r="F12" s="9" t="str">
        <f>IF($B12="","",ทีมขาย!G13)</f>
        <v/>
      </c>
      <c r="G12" s="9" t="str">
        <f>IF($B12="","",ทีมขาย!H13)</f>
        <v/>
      </c>
    </row>
    <row r="13" spans="2:7" x14ac:dyDescent="0.2">
      <c r="B13" s="13" t="str">
        <f>IF(ทีมขาย!A14="","",ทีมขาย!A14)</f>
        <v/>
      </c>
      <c r="C13" s="14" t="str">
        <f>IF($B13="","",ทีมขาย!D14)</f>
        <v/>
      </c>
      <c r="D13" s="9" t="str">
        <f>IF($B13="","",ทีมขาย!E14)</f>
        <v/>
      </c>
      <c r="E13" s="53" t="str">
        <f>IF($B13="","",ทีมขาย!F14)</f>
        <v/>
      </c>
      <c r="F13" s="9" t="str">
        <f>IF($B13="","",ทีมขาย!G14)</f>
        <v/>
      </c>
      <c r="G13" s="9" t="str">
        <f>IF($B13="","",ทีมขาย!H14)</f>
        <v/>
      </c>
    </row>
    <row r="14" spans="2:7" x14ac:dyDescent="0.2">
      <c r="B14" s="13" t="str">
        <f>IF(ทีมขาย!A15="","",ทีมขาย!A15)</f>
        <v/>
      </c>
      <c r="C14" s="14" t="str">
        <f>IF($B14="","",ทีมขาย!D15)</f>
        <v/>
      </c>
      <c r="D14" s="9" t="str">
        <f>IF($B14="","",ทีมขาย!E15)</f>
        <v/>
      </c>
      <c r="E14" s="53" t="str">
        <f>IF($B14="","",ทีมขาย!F15)</f>
        <v/>
      </c>
      <c r="F14" s="9" t="str">
        <f>IF($B14="","",ทีมขาย!G15)</f>
        <v/>
      </c>
      <c r="G14" s="9" t="str">
        <f>IF($B14="","",ทีมขาย!H15)</f>
        <v/>
      </c>
    </row>
    <row r="15" spans="2:7" x14ac:dyDescent="0.2">
      <c r="B15" s="13" t="str">
        <f>IF(ทีมขาย!A16="","",ทีมขาย!A16)</f>
        <v/>
      </c>
      <c r="C15" s="14" t="str">
        <f>IF($B15="","",ทีมขาย!D16)</f>
        <v/>
      </c>
      <c r="D15" s="9" t="str">
        <f>IF($B15="","",ทีมขาย!E16)</f>
        <v/>
      </c>
      <c r="E15" s="53" t="str">
        <f>IF($B15="","",ทีมขาย!F16)</f>
        <v/>
      </c>
      <c r="F15" s="9" t="str">
        <f>IF($B15="","",ทีมขาย!G16)</f>
        <v/>
      </c>
      <c r="G15" s="9" t="str">
        <f>IF($B15="","",ทีมขาย!H16)</f>
        <v/>
      </c>
    </row>
    <row r="16" spans="2:7" x14ac:dyDescent="0.2">
      <c r="B16" s="13" t="str">
        <f>IF(ทีมขาย!A17="","",ทีมขาย!A17)</f>
        <v/>
      </c>
      <c r="C16" s="14" t="str">
        <f>IF($B16="","",ทีมขาย!D17)</f>
        <v/>
      </c>
      <c r="D16" s="9" t="str">
        <f>IF($B16="","",ทีมขาย!E17)</f>
        <v/>
      </c>
      <c r="E16" s="53" t="str">
        <f>IF($B16="","",ทีมขาย!F17)</f>
        <v/>
      </c>
      <c r="F16" s="9" t="str">
        <f>IF($B16="","",ทีมขาย!G17)</f>
        <v/>
      </c>
      <c r="G16" s="9" t="str">
        <f>IF($B16="","",ทีมขาย!H17)</f>
        <v/>
      </c>
    </row>
    <row r="17" spans="2:7" x14ac:dyDescent="0.2">
      <c r="B17" s="13" t="str">
        <f>IF(ทีมขาย!A18="","",ทีมขาย!A18)</f>
        <v/>
      </c>
      <c r="C17" s="14" t="str">
        <f>IF($B17="","",ทีมขาย!D18)</f>
        <v/>
      </c>
      <c r="D17" s="9" t="str">
        <f>IF($B17="","",ทีมขาย!E18)</f>
        <v/>
      </c>
      <c r="E17" s="53" t="str">
        <f>IF($B17="","",ทีมขาย!F18)</f>
        <v/>
      </c>
      <c r="F17" s="9" t="str">
        <f>IF($B17="","",ทีมขาย!G18)</f>
        <v/>
      </c>
      <c r="G17" s="9" t="str">
        <f>IF($B17="","",ทีมขาย!H18)</f>
        <v/>
      </c>
    </row>
    <row r="18" spans="2:7" x14ac:dyDescent="0.2">
      <c r="B18" s="13" t="str">
        <f>IF(ทีมขาย!A19="","",ทีมขาย!A19)</f>
        <v/>
      </c>
      <c r="C18" s="14" t="str">
        <f>IF($B18="","",ทีมขาย!D19)</f>
        <v/>
      </c>
      <c r="D18" s="9" t="str">
        <f>IF($B18="","",ทีมขาย!E19)</f>
        <v/>
      </c>
      <c r="E18" s="53" t="str">
        <f>IF($B18="","",ทีมขาย!F19)</f>
        <v/>
      </c>
      <c r="F18" s="9" t="str">
        <f>IF($B18="","",ทีมขาย!G19)</f>
        <v/>
      </c>
      <c r="G18" s="9" t="str">
        <f>IF($B18="","",ทีมขาย!H19)</f>
        <v/>
      </c>
    </row>
    <row r="19" spans="2:7" x14ac:dyDescent="0.2">
      <c r="B19" s="13" t="str">
        <f>IF(ทีมขาย!A20="","",ทีมขาย!A20)</f>
        <v/>
      </c>
      <c r="C19" s="14" t="str">
        <f>IF($B19="","",ทีมขาย!D20)</f>
        <v/>
      </c>
      <c r="D19" s="9" t="str">
        <f>IF($B19="","",ทีมขาย!E20)</f>
        <v/>
      </c>
      <c r="E19" s="53" t="str">
        <f>IF($B19="","",ทีมขาย!F20)</f>
        <v/>
      </c>
      <c r="F19" s="9" t="str">
        <f>IF($B19="","",ทีมขาย!G20)</f>
        <v/>
      </c>
      <c r="G19" s="9" t="str">
        <f>IF($B19="","",ทีมขาย!H20)</f>
        <v/>
      </c>
    </row>
    <row r="20" spans="2:7" x14ac:dyDescent="0.2">
      <c r="B20" s="13" t="s">
        <v>65</v>
      </c>
      <c r="C20" s="14">
        <f>SUM(C5:C19)</f>
        <v>0</v>
      </c>
      <c r="D20" s="9">
        <f>SUM(D5:D19)</f>
        <v>15588</v>
      </c>
      <c r="E20" s="53">
        <f>SUM(E5:E19)</f>
        <v>1558.8000000000002</v>
      </c>
      <c r="F20" s="9">
        <f>SUM(F5:F19)</f>
        <v>1558.8000000000002</v>
      </c>
      <c r="G20" s="9">
        <f>SUM(G5:G19)</f>
        <v>0</v>
      </c>
    </row>
    <row r="23" spans="2:7" ht="18" customHeight="1" x14ac:dyDescent="0.2">
      <c r="B23" s="60" t="s">
        <v>66</v>
      </c>
      <c r="C23" s="61"/>
      <c r="D23" s="61"/>
      <c r="E23" s="61"/>
      <c r="F23" s="61"/>
      <c r="G23" s="61"/>
    </row>
    <row r="24" spans="2:7" ht="15" customHeight="1" x14ac:dyDescent="0.2">
      <c r="B24" s="58" t="s">
        <v>109</v>
      </c>
      <c r="C24" s="59"/>
      <c r="D24" s="59"/>
      <c r="E24" s="59"/>
      <c r="F24" s="59"/>
      <c r="G24" s="59"/>
    </row>
    <row r="25" spans="2:7" ht="15" customHeight="1" x14ac:dyDescent="0.2">
      <c r="B25" s="58" t="s">
        <v>110</v>
      </c>
      <c r="C25" s="59"/>
      <c r="D25" s="59"/>
      <c r="E25" s="59"/>
      <c r="F25" s="59"/>
      <c r="G25" s="59"/>
    </row>
    <row r="26" spans="2:7" ht="15" customHeight="1" x14ac:dyDescent="0.2">
      <c r="B26" s="58" t="s">
        <v>111</v>
      </c>
      <c r="C26" s="59"/>
      <c r="D26" s="59"/>
      <c r="E26" s="59"/>
      <c r="F26" s="59"/>
      <c r="G26" s="59"/>
    </row>
    <row r="27" spans="2:7" ht="15" customHeight="1" x14ac:dyDescent="0.2">
      <c r="B27" s="58" t="s">
        <v>112</v>
      </c>
      <c r="C27" s="59"/>
      <c r="D27" s="59"/>
      <c r="E27" s="59"/>
      <c r="F27" s="59"/>
      <c r="G27" s="59"/>
    </row>
  </sheetData>
  <sheetProtection sheet="1"/>
  <mergeCells count="7">
    <mergeCell ref="B24:G24"/>
    <mergeCell ref="B2:G2"/>
    <mergeCell ref="B23:G23"/>
    <mergeCell ref="B27:G27"/>
    <mergeCell ref="B1:G1"/>
    <mergeCell ref="B26:G26"/>
    <mergeCell ref="B25:G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Sales_Record</vt:lpstr>
      <vt:lpstr>ทีมขาย</vt:lpstr>
      <vt:lpstr>Rate</vt:lpstr>
      <vt:lpstr>รายได้</vt:lpstr>
      <vt:lpstr>REPORT (TH)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Bbm8sus4 #</cp:lastModifiedBy>
  <dcterms:created xsi:type="dcterms:W3CDTF">2026-06-19T02:22:37Z</dcterms:created>
  <dcterms:modified xsi:type="dcterms:W3CDTF">2026-06-21T02:52:10Z</dcterms:modified>
</cp:coreProperties>
</file>