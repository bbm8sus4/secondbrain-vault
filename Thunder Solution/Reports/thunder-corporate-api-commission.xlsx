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1 Month" sheetId="2" state="visible" r:id="rId2"/>
    <sheet name="12 Month" sheetId="3" state="visible" r:id="rId3"/>
    <sheet name="Per-Slip 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000000"/>
      <sz val="20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9C5700"/>
      <sz val="10"/>
    </font>
    <font>
      <name val="Calibri"/>
      <b val="1"/>
      <color rgb="003F3F3F"/>
      <sz val="10"/>
    </font>
  </fonts>
  <fills count="8">
    <fill>
      <patternFill/>
    </fill>
    <fill>
      <patternFill patternType="gray125"/>
    </fill>
    <fill>
      <patternFill patternType="solid">
        <fgColor rgb="003F3F3F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FBE5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165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indent="1"/>
    </xf>
    <xf numFmtId="164" fontId="6" fillId="6" borderId="1" applyAlignment="1" pivotButton="0" quotePrefix="0" xfId="0">
      <alignment horizontal="center" vertical="center" wrapText="1"/>
    </xf>
    <xf numFmtId="165" fontId="6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right" vertical="center"/>
    </xf>
    <xf numFmtId="3" fontId="6" fillId="5" borderId="1" applyAlignment="1" pivotButton="0" quotePrefix="0" xfId="0">
      <alignment horizontal="right" vertical="center"/>
    </xf>
    <xf numFmtId="3" fontId="6" fillId="6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center" vertical="center" wrapText="1"/>
    </xf>
    <xf numFmtId="3" fontId="7" fillId="7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2" customWidth="1" min="4" max="4"/>
    <col width="18" customWidth="1" min="5" max="5"/>
    <col width="22" customWidth="1" min="6" max="6"/>
  </cols>
  <sheetData>
    <row r="1" ht="32" customHeight="1">
      <c r="A1" s="1" t="inlineStr">
        <is>
          <t>THUNDER
API</t>
        </is>
      </c>
      <c r="C1" s="2" t="inlineStr">
        <is>
          <t>THUNDER CORPORATE API — COMMISSION 2026</t>
        </is>
      </c>
    </row>
    <row r="2" ht="22" customHeight="1">
      <c r="C2" s="3" t="inlineStr">
        <is>
          <t>ค่าคอมมิชชันทีมขาย · ขาย MOU แบบเลือกจำนวนสลิปได้ · บริษัท อีซี่สลิป จำกัด</t>
        </is>
      </c>
    </row>
    <row r="3"/>
    <row r="4" ht="26" customHeight="1">
      <c r="A4" s="4" t="inlineStr">
        <is>
          <t>🎛️ ตั้งค่าหลัก — แก้ไขตัวเลขในช่องเหลืองได้เลย (สูตรทั้งไฟล์จะอัปเดตอัตโนมัติ)</t>
        </is>
      </c>
      <c r="B4" s="5" t="inlineStr">
        <is>
          <t> </t>
        </is>
      </c>
      <c r="C4" s="5" t="inlineStr">
        <is>
          <t> </t>
        </is>
      </c>
      <c r="D4" s="5" t="inlineStr">
        <is>
          <t> </t>
        </is>
      </c>
      <c r="E4" s="5" t="inlineStr">
        <is>
          <t> </t>
        </is>
      </c>
      <c r="F4" s="6" t="inlineStr">
        <is>
          <t> </t>
        </is>
      </c>
    </row>
    <row r="5">
      <c r="A5" s="7" t="inlineStr">
        <is>
          <t>ค่าตั้งต้น</t>
        </is>
      </c>
      <c r="B5" s="7" t="inlineStr">
        <is>
          <t>ค่า</t>
        </is>
      </c>
      <c r="C5" s="7" t="inlineStr">
        <is>
          <t>หน่วย</t>
        </is>
      </c>
      <c r="D5" s="7" t="inlineStr">
        <is>
          <t>หมายเหตุ</t>
        </is>
      </c>
      <c r="E5" s="5" t="inlineStr">
        <is>
          <t> </t>
        </is>
      </c>
      <c r="F5" s="6" t="inlineStr">
        <is>
          <t> </t>
        </is>
      </c>
    </row>
    <row r="6" ht="22" customHeight="1">
      <c r="A6" s="8" t="inlineStr">
        <is>
          <t>ราคาขาย MOU</t>
        </is>
      </c>
      <c r="B6" s="9" t="n">
        <v>0.125</v>
      </c>
      <c r="C6" s="10" t="inlineStr">
        <is>
          <t>บ./สลิป</t>
        </is>
      </c>
      <c r="D6" s="11" t="inlineStr">
        <is>
          <t>ราคาคงที่ทุก tier ตามตาราง MOU</t>
        </is>
      </c>
      <c r="E6" s="5" t="inlineStr">
        <is>
          <t> </t>
        </is>
      </c>
      <c r="F6" s="6" t="inlineStr">
        <is>
          <t> </t>
        </is>
      </c>
    </row>
    <row r="7" ht="22" customHeight="1">
      <c r="A7" s="8" t="inlineStr">
        <is>
          <t>ต้นทุน Scenario A</t>
        </is>
      </c>
      <c r="B7" s="9" t="n">
        <v>0.11</v>
      </c>
      <c r="C7" s="10" t="inlineStr">
        <is>
          <t>บ./สลิป</t>
        </is>
      </c>
      <c r="D7" s="11" t="inlineStr">
        <is>
          <t>แหล่ง Other-source 100% (ราคา KBank คงที่)</t>
        </is>
      </c>
      <c r="E7" s="5" t="inlineStr">
        <is>
          <t> </t>
        </is>
      </c>
      <c r="F7" s="6" t="inlineStr">
        <is>
          <t> </t>
        </is>
      </c>
    </row>
    <row r="8" ht="22" customHeight="1">
      <c r="A8" s="8" t="inlineStr">
        <is>
          <t>ต้นทุน Scenario B</t>
        </is>
      </c>
      <c r="B8" s="9" t="n">
        <v>0.077</v>
      </c>
      <c r="C8" s="10" t="inlineStr">
        <is>
          <t>บ./สลิป</t>
        </is>
      </c>
      <c r="D8" s="11" t="inlineStr">
        <is>
          <t>ส่วนผสม ~30% K-src / 70% Other</t>
        </is>
      </c>
      <c r="E8" s="5" t="inlineStr">
        <is>
          <t> </t>
        </is>
      </c>
      <c r="F8" s="6" t="inlineStr">
        <is>
          <t> </t>
        </is>
      </c>
    </row>
    <row r="9" ht="22" customHeight="1">
      <c r="A9" s="8" t="inlineStr">
        <is>
          <t>อัตราค่าคอมมิชชัน Scenario A</t>
        </is>
      </c>
      <c r="B9" s="12" t="n">
        <v>0.03</v>
      </c>
      <c r="C9" s="10" t="inlineStr">
        <is>
          <t>%</t>
        </is>
      </c>
      <c r="D9" s="11" t="inlineStr">
        <is>
          <t>% ของรายได้ที่จ่ายให้เซลส์ (ใช้กับ Scenario A)</t>
        </is>
      </c>
      <c r="E9" s="5" t="inlineStr">
        <is>
          <t> </t>
        </is>
      </c>
      <c r="F9" s="6" t="inlineStr">
        <is>
          <t> </t>
        </is>
      </c>
    </row>
    <row r="10" ht="22" customHeight="1">
      <c r="A10" s="8" t="inlineStr">
        <is>
          <t>อัตราค่าคอมมิชชัน Scenario B</t>
        </is>
      </c>
      <c r="B10" s="12" t="n">
        <v>0.08</v>
      </c>
      <c r="C10" s="10" t="inlineStr">
        <is>
          <t>%</t>
        </is>
      </c>
      <c r="D10" s="11" t="inlineStr">
        <is>
          <t>% ของรายได้ที่จ่ายให้เซลส์ (ใช้กับ Scenario B)</t>
        </is>
      </c>
      <c r="E10" s="5" t="inlineStr">
        <is>
          <t> </t>
        </is>
      </c>
      <c r="F10" s="6" t="inlineStr">
        <is>
          <t> </t>
        </is>
      </c>
    </row>
    <row r="11"/>
    <row r="12" ht="26" customHeight="1">
      <c r="A12" s="4" t="inlineStr">
        <is>
          <t>เปรียบเทียบ Scenario ต้นทุน (อ้างอิงจากค่า Settings ด้านบน)</t>
        </is>
      </c>
      <c r="B12" s="5" t="inlineStr">
        <is>
          <t> </t>
        </is>
      </c>
      <c r="C12" s="5" t="inlineStr">
        <is>
          <t> </t>
        </is>
      </c>
      <c r="D12" s="5" t="inlineStr">
        <is>
          <t> </t>
        </is>
      </c>
      <c r="E12" s="5" t="inlineStr">
        <is>
          <t> </t>
        </is>
      </c>
      <c r="F12" s="6" t="inlineStr">
        <is>
          <t> </t>
        </is>
      </c>
    </row>
    <row r="13">
      <c r="A13" s="7" t="inlineStr">
        <is>
          <t>Scenario</t>
        </is>
      </c>
      <c r="B13" s="7" t="inlineStr">
        <is>
          <t>ต้นทุน/สลิป</t>
        </is>
      </c>
      <c r="C13" s="7" t="inlineStr">
        <is>
          <t>GP/สลิป</t>
        </is>
      </c>
      <c r="D13" s="7" t="inlineStr">
        <is>
          <t>GP %</t>
        </is>
      </c>
      <c r="E13" s="7" t="inlineStr">
        <is>
          <t>เรทคอมแนะนำ</t>
        </is>
      </c>
      <c r="F13" s="7" t="inlineStr">
        <is>
          <t>Net margin หลังคอม</t>
        </is>
      </c>
    </row>
    <row r="14">
      <c r="A14" s="13" t="inlineStr">
        <is>
          <t>A — แหล่ง Other-source 100%</t>
        </is>
      </c>
      <c r="B14" s="14">
        <f>Summary!$B$7</f>
        <v/>
      </c>
      <c r="C14" s="14">
        <f>Summary!$B$6-Summary!$B$7</f>
        <v/>
      </c>
      <c r="D14" s="15">
        <f>(Summary!$B$6-Summary!$B$7)/Summary!$B$6</f>
        <v/>
      </c>
      <c r="E14" s="15">
        <f>Summary!$B$9</f>
        <v/>
      </c>
      <c r="F14" s="15">
        <f>(Summary!$B$6-Summary!$B$7-Summary!$B$6*Summary!$B$9)/Summary!$B$6</f>
        <v/>
      </c>
    </row>
    <row r="15">
      <c r="A15" s="16" t="inlineStr">
        <is>
          <t>B — ส่วนผสม (~30/70)</t>
        </is>
      </c>
      <c r="B15" s="17">
        <f>Summary!$B$8</f>
        <v/>
      </c>
      <c r="C15" s="17">
        <f>Summary!$B$6-Summary!$B$8</f>
        <v/>
      </c>
      <c r="D15" s="18">
        <f>(Summary!$B$6-Summary!$B$8)/Summary!$B$6</f>
        <v/>
      </c>
      <c r="E15" s="18">
        <f>Summary!$B$10</f>
        <v/>
      </c>
      <c r="F15" s="18">
        <f>(Summary!$B$6-Summary!$B$8-Summary!$B$6*Summary!$B$10)/Summary!$B$6</f>
        <v/>
      </c>
    </row>
    <row r="16"/>
    <row r="17" ht="26" customHeight="1">
      <c r="A17" s="4" t="inlineStr">
        <is>
          <t>แนวคิดอัตราค่าคอมมิชชัน</t>
        </is>
      </c>
      <c r="B17" s="5" t="inlineStr">
        <is>
          <t> </t>
        </is>
      </c>
      <c r="C17" s="5" t="inlineStr">
        <is>
          <t> </t>
        </is>
      </c>
      <c r="D17" s="5" t="inlineStr">
        <is>
          <t> </t>
        </is>
      </c>
      <c r="E17" s="5" t="inlineStr">
        <is>
          <t> </t>
        </is>
      </c>
      <c r="F17" s="6" t="inlineStr">
        <is>
          <t> </t>
        </is>
      </c>
    </row>
    <row r="18" ht="24" customHeight="1">
      <c r="A18" s="8" t="inlineStr">
        <is>
          <t>Scenario A (ต้นทุน 0.11)</t>
        </is>
      </c>
      <c r="B18" s="11" t="inlineStr">
        <is>
          <t>อัตรากำไรบาง (12%) → ให้ค่าคอม 3% ของรายได้ บริษัทเหลือ ~9% รองรับค่าใช้จ่าย</t>
        </is>
      </c>
      <c r="C18" s="5" t="inlineStr">
        <is>
          <t> </t>
        </is>
      </c>
      <c r="D18" s="5" t="inlineStr">
        <is>
          <t> </t>
        </is>
      </c>
      <c r="E18" s="5" t="inlineStr">
        <is>
          <t> </t>
        </is>
      </c>
      <c r="F18" s="6" t="inlineStr">
        <is>
          <t> </t>
        </is>
      </c>
    </row>
    <row r="19" ht="24" customHeight="1">
      <c r="A19" s="8" t="inlineStr">
        <is>
          <t>Scenario B (ต้นทุน 0.077)</t>
        </is>
      </c>
      <c r="B19" s="11" t="inlineStr">
        <is>
          <t>อัตรากำไรหนา (38.4%) → ให้ค่าคอม 8% ของรายได้ บริษัทเหลือ ~30% เซลส์ได้ผลตอบแทนดี</t>
        </is>
      </c>
      <c r="C19" s="5" t="inlineStr">
        <is>
          <t> </t>
        </is>
      </c>
      <c r="D19" s="5" t="inlineStr">
        <is>
          <t> </t>
        </is>
      </c>
      <c r="E19" s="5" t="inlineStr">
        <is>
          <t> </t>
        </is>
      </c>
      <c r="F19" s="6" t="inlineStr">
        <is>
          <t> </t>
        </is>
      </c>
    </row>
    <row r="20" ht="24" customHeight="1">
      <c r="A20" s="8" t="inlineStr">
        <is>
          <t>ทางเลือก: คิดเป็น % ของกำไรขั้นต้น</t>
        </is>
      </c>
      <c r="B20" s="11" t="inlineStr">
        <is>
          <t>A @ 25% ของกำไรขั้นต้น ≈ 3% ของรายได้ · B @ 20% ของกำไรขั้นต้น ≈ 7.7% ของรายได้</t>
        </is>
      </c>
      <c r="C20" s="5" t="inlineStr">
        <is>
          <t> </t>
        </is>
      </c>
      <c r="D20" s="5" t="inlineStr">
        <is>
          <t> </t>
        </is>
      </c>
      <c r="E20" s="5" t="inlineStr">
        <is>
          <t> </t>
        </is>
      </c>
      <c r="F20" s="6" t="inlineStr">
        <is>
          <t> </t>
        </is>
      </c>
    </row>
    <row r="21" ht="24" customHeight="1">
      <c r="A21" s="8" t="inlineStr">
        <is>
          <t>ข้อระวัง MOU</t>
        </is>
      </c>
      <c r="B21" s="11" t="inlineStr">
        <is>
          <t>ถ้าใช้ Scenario B ต้อง lock traffic mix ใน MOU (เช่น K-src ≥ 30%)</t>
        </is>
      </c>
      <c r="C21" s="5" t="inlineStr">
        <is>
          <t> </t>
        </is>
      </c>
      <c r="D21" s="5" t="inlineStr">
        <is>
          <t> </t>
        </is>
      </c>
      <c r="E21" s="5" t="inlineStr">
        <is>
          <t> </t>
        </is>
      </c>
      <c r="F21" s="6" t="inlineStr">
        <is>
          <t> </t>
        </is>
      </c>
    </row>
    <row r="22"/>
    <row r="23" ht="26" customHeight="1">
      <c r="A23" s="4" t="inlineStr">
        <is>
          <t>⚡ วิธีใช้งานอย่างรวดเร็ว (Sales Playbook)</t>
        </is>
      </c>
      <c r="B23" s="5" t="inlineStr">
        <is>
          <t> </t>
        </is>
      </c>
      <c r="C23" s="5" t="inlineStr">
        <is>
          <t> </t>
        </is>
      </c>
      <c r="D23" s="5" t="inlineStr">
        <is>
          <t> </t>
        </is>
      </c>
      <c r="E23" s="5" t="inlineStr">
        <is>
          <t> </t>
        </is>
      </c>
      <c r="F23" s="6" t="inlineStr">
        <is>
          <t> </t>
        </is>
      </c>
    </row>
    <row r="24">
      <c r="A24" s="7" t="inlineStr">
        <is>
          <t>Step</t>
        </is>
      </c>
      <c r="B24" s="7" t="inlineStr">
        <is>
          <t>ทำอะไร</t>
        </is>
      </c>
      <c r="C24" s="5" t="inlineStr">
        <is>
          <t> </t>
        </is>
      </c>
      <c r="D24" s="5" t="inlineStr">
        <is>
          <t> </t>
        </is>
      </c>
      <c r="E24" s="5" t="inlineStr">
        <is>
          <t> </t>
        </is>
      </c>
      <c r="F24" s="6" t="inlineStr">
        <is>
          <t> </t>
        </is>
      </c>
    </row>
    <row r="25" ht="26" customHeight="1">
      <c r="A25" s="19" t="inlineStr">
        <is>
          <t>1</t>
        </is>
      </c>
      <c r="B25" s="11" t="inlineStr">
        <is>
          <t>ตรวจสอบก่อน: ลูกค้ามี traffic เป็น K-src/Other เท่าไร — ถ้าไม่ทราบ → ใช้ Scenario A เพื่อความปลอดภัย</t>
        </is>
      </c>
      <c r="C25" s="5" t="inlineStr">
        <is>
          <t> </t>
        </is>
      </c>
      <c r="D25" s="5" t="inlineStr">
        <is>
          <t> </t>
        </is>
      </c>
      <c r="E25" s="5" t="inlineStr">
        <is>
          <t> </t>
        </is>
      </c>
      <c r="F25" s="6" t="inlineStr">
        <is>
          <t> </t>
        </is>
      </c>
    </row>
    <row r="26" ht="26" customHeight="1">
      <c r="A26" s="19" t="inlineStr">
        <is>
          <t>2</t>
        </is>
      </c>
      <c r="B26" s="11" t="inlineStr">
        <is>
          <t>สอบถามงบประมาณของลูกค้า → ตรวจสอบว่าตรงกับ Coperate ตัวไหน (เปิดแท็บ 1 เดือน หรือ 12 เดือน)</t>
        </is>
      </c>
      <c r="C26" s="5" t="inlineStr">
        <is>
          <t> </t>
        </is>
      </c>
      <c r="D26" s="5" t="inlineStr">
        <is>
          <t> </t>
        </is>
      </c>
      <c r="E26" s="5" t="inlineStr">
        <is>
          <t> </t>
        </is>
      </c>
      <c r="F26" s="6" t="inlineStr">
        <is>
          <t> </t>
        </is>
      </c>
    </row>
    <row r="27" ht="26" customHeight="1">
      <c r="A27" s="19" t="inlineStr">
        <is>
          <t>3</t>
        </is>
      </c>
      <c r="B27" s="11" t="inlineStr">
        <is>
          <t>อ่านช่อง Comm ของ Scenario ที่ใช้ → คือยอดที่เซลส์จะได้รับ</t>
        </is>
      </c>
      <c r="C27" s="5" t="inlineStr">
        <is>
          <t> </t>
        </is>
      </c>
      <c r="D27" s="5" t="inlineStr">
        <is>
          <t> </t>
        </is>
      </c>
      <c r="E27" s="5" t="inlineStr">
        <is>
          <t> </t>
        </is>
      </c>
      <c r="F27" s="6" t="inlineStr">
        <is>
          <t> </t>
        </is>
      </c>
    </row>
    <row r="28" ht="26" customHeight="1">
      <c r="A28" s="19" t="inlineStr">
        <is>
          <t>4</t>
        </is>
      </c>
      <c r="B28" s="11" t="inlineStr">
        <is>
          <t>ตรวจสอบช่อง Net GP → ดูว่าบริษัทเหลือกำไรเท่าไรหลังจ่ายค่าคอมมิชชัน</t>
        </is>
      </c>
      <c r="C28" s="5" t="inlineStr">
        <is>
          <t> </t>
        </is>
      </c>
      <c r="D28" s="5" t="inlineStr">
        <is>
          <t> </t>
        </is>
      </c>
      <c r="E28" s="5" t="inlineStr">
        <is>
          <t> </t>
        </is>
      </c>
      <c r="F28" s="6" t="inlineStr">
        <is>
          <t> </t>
        </is>
      </c>
    </row>
    <row r="29" ht="26" customHeight="1">
      <c r="A29" s="19" t="inlineStr">
        <is>
          <t>5</t>
        </is>
      </c>
      <c r="B29" s="11" t="inlineStr">
        <is>
          <t>ถ้าใช้ Scenario B ต้องเขียนใน MOU: ลูกค้ารับประกัน K-src ≥ 30%</t>
        </is>
      </c>
      <c r="C29" s="5" t="inlineStr">
        <is>
          <t> </t>
        </is>
      </c>
      <c r="D29" s="5" t="inlineStr">
        <is>
          <t> </t>
        </is>
      </c>
      <c r="E29" s="5" t="inlineStr">
        <is>
          <t> </t>
        </is>
      </c>
      <c r="F29" s="6" t="inlineStr">
        <is>
          <t> </t>
        </is>
      </c>
    </row>
    <row r="30" ht="26" customHeight="1">
      <c r="A30" s="19" t="inlineStr">
        <is>
          <t>6</t>
        </is>
      </c>
      <c r="B30" s="11" t="inlineStr">
        <is>
          <t>ถ้า tier ของลูกค้าไม่อยู่ในตาราง (เช่น 250,000 สลิป) → ใช้แท็บ Per-Slip Detail คูณเอง</t>
        </is>
      </c>
      <c r="C30" s="5" t="inlineStr">
        <is>
          <t> </t>
        </is>
      </c>
      <c r="D30" s="5" t="inlineStr">
        <is>
          <t> </t>
        </is>
      </c>
      <c r="E30" s="5" t="inlineStr">
        <is>
          <t> </t>
        </is>
      </c>
      <c r="F30" s="6" t="inlineStr">
        <is>
          <t> </t>
        </is>
      </c>
    </row>
    <row r="31"/>
    <row r="32" ht="26" customHeight="1">
      <c r="A32" s="4" t="inlineStr">
        <is>
          <t>⚠️ ข้อควรระวัง</t>
        </is>
      </c>
      <c r="B32" s="5" t="inlineStr">
        <is>
          <t> </t>
        </is>
      </c>
      <c r="C32" s="5" t="inlineStr">
        <is>
          <t> </t>
        </is>
      </c>
      <c r="D32" s="5" t="inlineStr">
        <is>
          <t> </t>
        </is>
      </c>
      <c r="E32" s="5" t="inlineStr">
        <is>
          <t> </t>
        </is>
      </c>
      <c r="F32" s="6" t="inlineStr">
        <is>
          <t> </t>
        </is>
      </c>
    </row>
    <row r="33">
      <c r="A33" s="7" t="inlineStr">
        <is>
          <t>หัวข้อ</t>
        </is>
      </c>
      <c r="B33" s="7" t="inlineStr">
        <is>
          <t>รายละเอียด</t>
        </is>
      </c>
      <c r="C33" s="5" t="inlineStr">
        <is>
          <t> </t>
        </is>
      </c>
      <c r="D33" s="5" t="inlineStr">
        <is>
          <t> </t>
        </is>
      </c>
      <c r="E33" s="5" t="inlineStr">
        <is>
          <t> </t>
        </is>
      </c>
      <c r="F33" s="6" t="inlineStr">
        <is>
          <t> </t>
        </is>
      </c>
    </row>
    <row r="34" ht="42" customHeight="1">
      <c r="A34" s="8" t="inlineStr">
        <is>
          <t>ราคาขายคงที่ 0.125</t>
        </is>
      </c>
      <c r="B34" s="11" t="inlineStr">
        <is>
          <t>ไม่ใช่ส่วนลดตาม tier เหมือนแพ็กเกจมาตรฐาน — ทุกระดับจ่าย 0.125 บาท/สลิปเท่ากัน ดังนั้นแพ็กใหญ่จึงไม่ได้กำไรเพิ่ม % ต่างจาก Web Pricing</t>
        </is>
      </c>
      <c r="C34" s="5" t="inlineStr">
        <is>
          <t> </t>
        </is>
      </c>
      <c r="D34" s="5" t="inlineStr">
        <is>
          <t> </t>
        </is>
      </c>
      <c r="E34" s="5" t="inlineStr">
        <is>
          <t> </t>
        </is>
      </c>
      <c r="F34" s="6" t="inlineStr">
        <is>
          <t> </t>
        </is>
      </c>
    </row>
    <row r="35" ht="42" customHeight="1">
      <c r="A35" s="8" t="inlineStr">
        <is>
          <t>ต้นทุน 0.077 ไม่ใช่ค่ามาตรฐาน</t>
        </is>
      </c>
      <c r="B35" s="11" t="inlineStr">
        <is>
          <t>เป็นค่าประมาณกรณีส่วนผสม 30/70 ลูกค้าจริงต้องตรวจสอบ traffic mix ก่อน — ถ้าใช้ Other เกิน 70% ต้นทุนจะเกิน 0.077 ทันที</t>
        </is>
      </c>
      <c r="C35" s="5" t="inlineStr">
        <is>
          <t> </t>
        </is>
      </c>
      <c r="D35" s="5" t="inlineStr">
        <is>
          <t> </t>
        </is>
      </c>
      <c r="E35" s="5" t="inlineStr">
        <is>
          <t> </t>
        </is>
      </c>
      <c r="F35" s="6" t="inlineStr">
        <is>
          <t> </t>
        </is>
      </c>
    </row>
    <row r="36" ht="42" customHeight="1">
      <c r="A36" s="8" t="inlineStr">
        <is>
          <t>Net GP ≠ Net Profit</t>
        </is>
      </c>
      <c r="B36" s="11" t="inlineStr">
        <is>
          <t>Net GP ในไฟล์นี้ = หลังหักค่าคอมมิชชันแล้ว แต่ยังไม่หักค่าใช้จ่าย (server, dev, support, sales operation) — ของจริงเหลือน้อยกว่านี้อีก 10–20%</t>
        </is>
      </c>
      <c r="C36" s="5" t="inlineStr">
        <is>
          <t> </t>
        </is>
      </c>
      <c r="D36" s="5" t="inlineStr">
        <is>
          <t> </t>
        </is>
      </c>
      <c r="E36" s="5" t="inlineStr">
        <is>
          <t> </t>
        </is>
      </c>
      <c r="F36" s="6" t="inlineStr">
        <is>
          <t> </t>
        </is>
      </c>
    </row>
    <row r="37" ht="42" customHeight="1">
      <c r="A37" s="8" t="inlineStr">
        <is>
          <t>VAT</t>
        </is>
      </c>
      <c r="B37" s="11" t="inlineStr">
        <is>
          <t>ตัวเลขในไฟล์เป็นราคาคงที่ตาม MOU (ราคาที่แสดงในตารางลูกค้า) ไม่ได้แยก excl/incl VAT — ถ้าจะใช้คำนวณงบจริง ปรึกษาฝ่ายบัญชี</t>
        </is>
      </c>
      <c r="C37" s="5" t="inlineStr">
        <is>
          <t> </t>
        </is>
      </c>
      <c r="D37" s="5" t="inlineStr">
        <is>
          <t> </t>
        </is>
      </c>
      <c r="E37" s="5" t="inlineStr">
        <is>
          <t> </t>
        </is>
      </c>
      <c r="F37" s="6" t="inlineStr">
        <is>
          <t> </t>
        </is>
      </c>
    </row>
  </sheetData>
  <mergeCells count="30">
    <mergeCell ref="B25:F25"/>
    <mergeCell ref="A12:F12"/>
    <mergeCell ref="D7:F7"/>
    <mergeCell ref="B18:F18"/>
    <mergeCell ref="B27:F27"/>
    <mergeCell ref="B21:F21"/>
    <mergeCell ref="A23:F23"/>
    <mergeCell ref="A32:F32"/>
    <mergeCell ref="D9:F9"/>
    <mergeCell ref="A17:F17"/>
    <mergeCell ref="A4:F4"/>
    <mergeCell ref="D8:F8"/>
    <mergeCell ref="B29:F29"/>
    <mergeCell ref="D5:F5"/>
    <mergeCell ref="B34:F34"/>
    <mergeCell ref="B28:F28"/>
    <mergeCell ref="B19:F19"/>
    <mergeCell ref="B37:F37"/>
    <mergeCell ref="C1:F1"/>
    <mergeCell ref="A1:B2"/>
    <mergeCell ref="D10:F10"/>
    <mergeCell ref="B30:F30"/>
    <mergeCell ref="B24:F24"/>
    <mergeCell ref="B20:F20"/>
    <mergeCell ref="B33:F33"/>
    <mergeCell ref="B36:F36"/>
    <mergeCell ref="C2:F2"/>
    <mergeCell ref="D6:F6"/>
    <mergeCell ref="B26:F26"/>
    <mergeCell ref="B35:F35"/>
  </mergeCells>
  <pageMargins left="0.75" right="0.75" top="1" bottom="1" header="0.5" footer="0.5"/>
  <ignoredErrors>
    <ignoredError sqref="A1:ZZ1000" calculatedColumn="1" emptyCellReference="1" evalError="1" formula="1" formulaRange="1" listDataValidation="1" numberStoredAsText="1" twoDigitTextYear="1" unlockedFormula="1"/>
  </ignoredError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</cols>
  <sheetData>
    <row r="1" ht="32" customHeight="1">
      <c r="A1" s="1" t="inlineStr">
        <is>
          <t>THUNDER
API</t>
        </is>
      </c>
      <c r="C1" s="2" t="inlineStr">
        <is>
          <t>COMMISSION TABLE — 1 MONTH</t>
        </is>
      </c>
    </row>
    <row r="2" ht="22" customHeight="1">
      <c r="C2" s="3" t="inlineStr">
        <is>
          <t>ตัวเลขทั้งหมดคำนวณจากค่า Settings ในแท็บ Summary · ตัวคูณ = 1 เดือน · อัปเดต % คอมมิชชันที่ Summary แล้ว ทุกช่องจะอัปเดตอัตโนมัติ</t>
        </is>
      </c>
    </row>
    <row r="3"/>
    <row r="4" ht="26" customHeight="1">
      <c r="A4" s="4" t="inlineStr">
        <is>
          <t>ดีลและราคา</t>
        </is>
      </c>
      <c r="B4" s="5" t="inlineStr">
        <is>
          <t> </t>
        </is>
      </c>
      <c r="C4" s="6" t="inlineStr">
        <is>
          <t> </t>
        </is>
      </c>
      <c r="D4" s="4" t="inlineStr">
        <is>
          <t>SCENARIO A — ต้นทุนจากค่า Settings</t>
        </is>
      </c>
      <c r="E4" s="5" t="inlineStr">
        <is>
          <t> </t>
        </is>
      </c>
      <c r="F4" s="5" t="inlineStr">
        <is>
          <t> </t>
        </is>
      </c>
      <c r="G4" s="6" t="inlineStr">
        <is>
          <t> </t>
        </is>
      </c>
      <c r="H4" s="4" t="inlineStr">
        <is>
          <t>SCENARIO B — ต้นทุนจากค่า Settings</t>
        </is>
      </c>
      <c r="I4" s="5" t="inlineStr">
        <is>
          <t> </t>
        </is>
      </c>
      <c r="J4" s="5" t="inlineStr">
        <is>
          <t> </t>
        </is>
      </c>
      <c r="K4" s="6" t="inlineStr">
        <is>
          <t> </t>
        </is>
      </c>
    </row>
    <row r="5" ht="28" customHeight="1">
      <c r="A5" s="7" t="inlineStr">
        <is>
          <t>Package</t>
        </is>
      </c>
      <c r="B5" s="7" t="inlineStr">
        <is>
          <t>Slips/1 Month</t>
        </is>
      </c>
      <c r="C5" s="7" t="inlineStr">
        <is>
          <t>Price/1 Month</t>
        </is>
      </c>
      <c r="D5" s="7" t="inlineStr">
        <is>
          <t>Cost A</t>
        </is>
      </c>
      <c r="E5" s="7" t="inlineStr">
        <is>
          <t>GP A</t>
        </is>
      </c>
      <c r="F5" s="7" t="inlineStr">
        <is>
          <t>Comm A</t>
        </is>
      </c>
      <c r="G5" s="7" t="inlineStr">
        <is>
          <t>Net GP A</t>
        </is>
      </c>
      <c r="H5" s="7" t="inlineStr">
        <is>
          <t>Cost B</t>
        </is>
      </c>
      <c r="I5" s="7" t="inlineStr">
        <is>
          <t>GP B</t>
        </is>
      </c>
      <c r="J5" s="7" t="inlineStr">
        <is>
          <t>Comm B</t>
        </is>
      </c>
      <c r="K5" s="7" t="inlineStr">
        <is>
          <t>Net GP B</t>
        </is>
      </c>
    </row>
    <row r="6">
      <c r="A6" s="8" t="inlineStr">
        <is>
          <t>Coperate A</t>
        </is>
      </c>
      <c r="B6" s="20" t="n">
        <v>100000</v>
      </c>
      <c r="C6" s="20">
        <f>B6*Summary!$B$6</f>
        <v/>
      </c>
      <c r="D6" s="21">
        <f>B6*Summary!$B$7</f>
        <v/>
      </c>
      <c r="E6" s="21">
        <f>C6-D6</f>
        <v/>
      </c>
      <c r="F6" s="21">
        <f>C6*Summary!$B$9</f>
        <v/>
      </c>
      <c r="G6" s="21">
        <f>E6-F6</f>
        <v/>
      </c>
      <c r="H6" s="22">
        <f>B6*Summary!$B$8</f>
        <v/>
      </c>
      <c r="I6" s="22">
        <f>C6-H6</f>
        <v/>
      </c>
      <c r="J6" s="22">
        <f>C6*Summary!$B$10</f>
        <v/>
      </c>
      <c r="K6" s="22">
        <f>I6-J6</f>
        <v/>
      </c>
    </row>
    <row r="7">
      <c r="A7" s="8" t="inlineStr">
        <is>
          <t>Coperate B</t>
        </is>
      </c>
      <c r="B7" s="20" t="n">
        <v>200000</v>
      </c>
      <c r="C7" s="20">
        <f>B7*Summary!$B$6</f>
        <v/>
      </c>
      <c r="D7" s="21">
        <f>B7*Summary!$B$7</f>
        <v/>
      </c>
      <c r="E7" s="21">
        <f>C7-D7</f>
        <v/>
      </c>
      <c r="F7" s="21">
        <f>C7*Summary!$B$9</f>
        <v/>
      </c>
      <c r="G7" s="21">
        <f>E7-F7</f>
        <v/>
      </c>
      <c r="H7" s="22">
        <f>B7*Summary!$B$8</f>
        <v/>
      </c>
      <c r="I7" s="22">
        <f>C7-H7</f>
        <v/>
      </c>
      <c r="J7" s="22">
        <f>C7*Summary!$B$10</f>
        <v/>
      </c>
      <c r="K7" s="22">
        <f>I7-J7</f>
        <v/>
      </c>
    </row>
    <row r="8">
      <c r="A8" s="8" t="inlineStr">
        <is>
          <t>Coperate C</t>
        </is>
      </c>
      <c r="B8" s="20" t="n">
        <v>300000</v>
      </c>
      <c r="C8" s="20">
        <f>B8*Summary!$B$6</f>
        <v/>
      </c>
      <c r="D8" s="21">
        <f>B8*Summary!$B$7</f>
        <v/>
      </c>
      <c r="E8" s="21">
        <f>C8-D8</f>
        <v/>
      </c>
      <c r="F8" s="21">
        <f>C8*Summary!$B$9</f>
        <v/>
      </c>
      <c r="G8" s="21">
        <f>E8-F8</f>
        <v/>
      </c>
      <c r="H8" s="22">
        <f>B8*Summary!$B$8</f>
        <v/>
      </c>
      <c r="I8" s="22">
        <f>C8-H8</f>
        <v/>
      </c>
      <c r="J8" s="22">
        <f>C8*Summary!$B$10</f>
        <v/>
      </c>
      <c r="K8" s="22">
        <f>I8-J8</f>
        <v/>
      </c>
    </row>
    <row r="9">
      <c r="A9" s="8" t="inlineStr">
        <is>
          <t>Coperate D</t>
        </is>
      </c>
      <c r="B9" s="20" t="n">
        <v>400000</v>
      </c>
      <c r="C9" s="20">
        <f>B9*Summary!$B$6</f>
        <v/>
      </c>
      <c r="D9" s="21">
        <f>B9*Summary!$B$7</f>
        <v/>
      </c>
      <c r="E9" s="21">
        <f>C9-D9</f>
        <v/>
      </c>
      <c r="F9" s="21">
        <f>C9*Summary!$B$9</f>
        <v/>
      </c>
      <c r="G9" s="21">
        <f>E9-F9</f>
        <v/>
      </c>
      <c r="H9" s="22">
        <f>B9*Summary!$B$8</f>
        <v/>
      </c>
      <c r="I9" s="22">
        <f>C9-H9</f>
        <v/>
      </c>
      <c r="J9" s="22">
        <f>C9*Summary!$B$10</f>
        <v/>
      </c>
      <c r="K9" s="22">
        <f>I9-J9</f>
        <v/>
      </c>
    </row>
    <row r="10">
      <c r="A10" s="8" t="inlineStr">
        <is>
          <t>Coperate E</t>
        </is>
      </c>
      <c r="B10" s="20" t="n">
        <v>500000</v>
      </c>
      <c r="C10" s="20">
        <f>B10*Summary!$B$6</f>
        <v/>
      </c>
      <c r="D10" s="21">
        <f>B10*Summary!$B$7</f>
        <v/>
      </c>
      <c r="E10" s="21">
        <f>C10-D10</f>
        <v/>
      </c>
      <c r="F10" s="21">
        <f>C10*Summary!$B$9</f>
        <v/>
      </c>
      <c r="G10" s="21">
        <f>E10-F10</f>
        <v/>
      </c>
      <c r="H10" s="22">
        <f>B10*Summary!$B$8</f>
        <v/>
      </c>
      <c r="I10" s="22">
        <f>C10-H10</f>
        <v/>
      </c>
      <c r="J10" s="22">
        <f>C10*Summary!$B$10</f>
        <v/>
      </c>
      <c r="K10" s="22">
        <f>I10-J10</f>
        <v/>
      </c>
    </row>
    <row r="11">
      <c r="A11" s="8" t="inlineStr">
        <is>
          <t>Coperate F</t>
        </is>
      </c>
      <c r="B11" s="20" t="n">
        <v>600000</v>
      </c>
      <c r="C11" s="20">
        <f>B11*Summary!$B$6</f>
        <v/>
      </c>
      <c r="D11" s="21">
        <f>B11*Summary!$B$7</f>
        <v/>
      </c>
      <c r="E11" s="21">
        <f>C11-D11</f>
        <v/>
      </c>
      <c r="F11" s="21">
        <f>C11*Summary!$B$9</f>
        <v/>
      </c>
      <c r="G11" s="21">
        <f>E11-F11</f>
        <v/>
      </c>
      <c r="H11" s="22">
        <f>B11*Summary!$B$8</f>
        <v/>
      </c>
      <c r="I11" s="22">
        <f>C11-H11</f>
        <v/>
      </c>
      <c r="J11" s="22">
        <f>C11*Summary!$B$10</f>
        <v/>
      </c>
      <c r="K11" s="22">
        <f>I11-J11</f>
        <v/>
      </c>
    </row>
    <row r="12">
      <c r="A12" s="8" t="inlineStr">
        <is>
          <t>Coperate G</t>
        </is>
      </c>
      <c r="B12" s="20" t="n">
        <v>700000</v>
      </c>
      <c r="C12" s="20">
        <f>B12*Summary!$B$6</f>
        <v/>
      </c>
      <c r="D12" s="21">
        <f>B12*Summary!$B$7</f>
        <v/>
      </c>
      <c r="E12" s="21">
        <f>C12-D12</f>
        <v/>
      </c>
      <c r="F12" s="21">
        <f>C12*Summary!$B$9</f>
        <v/>
      </c>
      <c r="G12" s="21">
        <f>E12-F12</f>
        <v/>
      </c>
      <c r="H12" s="22">
        <f>B12*Summary!$B$8</f>
        <v/>
      </c>
      <c r="I12" s="22">
        <f>C12-H12</f>
        <v/>
      </c>
      <c r="J12" s="22">
        <f>C12*Summary!$B$10</f>
        <v/>
      </c>
      <c r="K12" s="22">
        <f>I12-J12</f>
        <v/>
      </c>
    </row>
    <row r="13">
      <c r="A13" s="8" t="inlineStr">
        <is>
          <t>Coperate H</t>
        </is>
      </c>
      <c r="B13" s="20" t="n">
        <v>800000</v>
      </c>
      <c r="C13" s="20">
        <f>B13*Summary!$B$6</f>
        <v/>
      </c>
      <c r="D13" s="21">
        <f>B13*Summary!$B$7</f>
        <v/>
      </c>
      <c r="E13" s="21">
        <f>C13-D13</f>
        <v/>
      </c>
      <c r="F13" s="21">
        <f>C13*Summary!$B$9</f>
        <v/>
      </c>
      <c r="G13" s="21">
        <f>E13-F13</f>
        <v/>
      </c>
      <c r="H13" s="22">
        <f>B13*Summary!$B$8</f>
        <v/>
      </c>
      <c r="I13" s="22">
        <f>C13-H13</f>
        <v/>
      </c>
      <c r="J13" s="22">
        <f>C13*Summary!$B$10</f>
        <v/>
      </c>
      <c r="K13" s="22">
        <f>I13-J13</f>
        <v/>
      </c>
    </row>
    <row r="14">
      <c r="A14" s="8" t="inlineStr">
        <is>
          <t>Coperate I</t>
        </is>
      </c>
      <c r="B14" s="20" t="n">
        <v>900000</v>
      </c>
      <c r="C14" s="20">
        <f>B14*Summary!$B$6</f>
        <v/>
      </c>
      <c r="D14" s="21">
        <f>B14*Summary!$B$7</f>
        <v/>
      </c>
      <c r="E14" s="21">
        <f>C14-D14</f>
        <v/>
      </c>
      <c r="F14" s="21">
        <f>C14*Summary!$B$9</f>
        <v/>
      </c>
      <c r="G14" s="21">
        <f>E14-F14</f>
        <v/>
      </c>
      <c r="H14" s="22">
        <f>B14*Summary!$B$8</f>
        <v/>
      </c>
      <c r="I14" s="22">
        <f>C14-H14</f>
        <v/>
      </c>
      <c r="J14" s="22">
        <f>C14*Summary!$B$10</f>
        <v/>
      </c>
      <c r="K14" s="22">
        <f>I14-J14</f>
        <v/>
      </c>
    </row>
    <row r="15">
      <c r="A15" s="8" t="inlineStr">
        <is>
          <t>Coperate J</t>
        </is>
      </c>
      <c r="B15" s="20" t="n">
        <v>1000000</v>
      </c>
      <c r="C15" s="20">
        <f>B15*Summary!$B$6</f>
        <v/>
      </c>
      <c r="D15" s="21">
        <f>B15*Summary!$B$7</f>
        <v/>
      </c>
      <c r="E15" s="21">
        <f>C15-D15</f>
        <v/>
      </c>
      <c r="F15" s="21">
        <f>C15*Summary!$B$9</f>
        <v/>
      </c>
      <c r="G15" s="21">
        <f>E15-F15</f>
        <v/>
      </c>
      <c r="H15" s="22">
        <f>B15*Summary!$B$8</f>
        <v/>
      </c>
      <c r="I15" s="22">
        <f>C15-H15</f>
        <v/>
      </c>
      <c r="J15" s="22">
        <f>C15*Summary!$B$10</f>
        <v/>
      </c>
      <c r="K15" s="22">
        <f>I15-J15</f>
        <v/>
      </c>
    </row>
    <row r="16">
      <c r="A16" s="23" t="inlineStr">
        <is>
          <t>รวม</t>
        </is>
      </c>
      <c r="B16" s="24">
        <f>SUM(B6:B15)</f>
        <v/>
      </c>
      <c r="C16" s="24">
        <f>SUM(C6:C15)</f>
        <v/>
      </c>
      <c r="D16" s="24">
        <f>SUM(D6:D15)</f>
        <v/>
      </c>
      <c r="E16" s="24">
        <f>SUM(E6:E15)</f>
        <v/>
      </c>
      <c r="F16" s="24">
        <f>SUM(F6:F15)</f>
        <v/>
      </c>
      <c r="G16" s="24">
        <f>SUM(G6:G15)</f>
        <v/>
      </c>
      <c r="H16" s="24">
        <f>SUM(H6:H15)</f>
        <v/>
      </c>
      <c r="I16" s="24">
        <f>SUM(I6:I15)</f>
        <v/>
      </c>
      <c r="J16" s="24">
        <f>SUM(J6:J15)</f>
        <v/>
      </c>
      <c r="K16" s="24">
        <f>SUM(K6:K15)</f>
        <v/>
      </c>
    </row>
    <row r="17"/>
    <row r="18" ht="26" customHeight="1">
      <c r="A18" s="4" t="inlineStr">
        <is>
          <t>📖 คำอธิบายช่อง (Field Guide — 1 Month)</t>
        </is>
      </c>
      <c r="B18" s="5" t="inlineStr">
        <is>
          <t> </t>
        </is>
      </c>
      <c r="C18" s="5" t="inlineStr">
        <is>
          <t> </t>
        </is>
      </c>
      <c r="D18" s="5" t="inlineStr">
        <is>
          <t> </t>
        </is>
      </c>
      <c r="E18" s="5" t="inlineStr">
        <is>
          <t> </t>
        </is>
      </c>
      <c r="F18" s="5" t="inlineStr">
        <is>
          <t> </t>
        </is>
      </c>
      <c r="G18" s="5" t="inlineStr">
        <is>
          <t> </t>
        </is>
      </c>
      <c r="H18" s="5" t="inlineStr">
        <is>
          <t> </t>
        </is>
      </c>
      <c r="I18" s="5" t="inlineStr">
        <is>
          <t> </t>
        </is>
      </c>
      <c r="J18" s="5" t="inlineStr">
        <is>
          <t> </t>
        </is>
      </c>
      <c r="K18" s="6" t="inlineStr">
        <is>
          <t> </t>
        </is>
      </c>
    </row>
    <row r="19">
      <c r="A19" s="7" t="inlineStr">
        <is>
          <t>ช่อง</t>
        </is>
      </c>
      <c r="B19" s="7" t="inlineStr">
        <is>
          <t>สูตร</t>
        </is>
      </c>
      <c r="C19" s="5" t="inlineStr">
        <is>
          <t> </t>
        </is>
      </c>
      <c r="D19" s="6" t="inlineStr">
        <is>
          <t> </t>
        </is>
      </c>
      <c r="E19" s="7" t="inlineStr">
        <is>
          <t>ความหมาย</t>
        </is>
      </c>
      <c r="F19" s="5" t="inlineStr">
        <is>
          <t> </t>
        </is>
      </c>
      <c r="G19" s="5" t="inlineStr">
        <is>
          <t> </t>
        </is>
      </c>
      <c r="H19" s="5" t="inlineStr">
        <is>
          <t> </t>
        </is>
      </c>
      <c r="I19" s="5" t="inlineStr">
        <is>
          <t> </t>
        </is>
      </c>
      <c r="J19" s="5" t="inlineStr">
        <is>
          <t> </t>
        </is>
      </c>
      <c r="K19" s="6" t="inlineStr">
        <is>
          <t> </t>
        </is>
      </c>
    </row>
    <row r="20" ht="24" customHeight="1">
      <c r="A20" s="8" t="inlineStr">
        <is>
          <t>Package</t>
        </is>
      </c>
      <c r="B20" s="11" t="inlineStr">
        <is>
          <t>—</t>
        </is>
      </c>
      <c r="C20" s="5" t="inlineStr">
        <is>
          <t> </t>
        </is>
      </c>
      <c r="D20" s="6" t="inlineStr">
        <is>
          <t> </t>
        </is>
      </c>
      <c r="E20" s="11" t="inlineStr">
        <is>
          <t>ระดับแพ็กเกจ MOU (Coperate A → J) ตามจำนวนสลิปที่ลูกค้าซื้อ</t>
        </is>
      </c>
      <c r="F20" s="5" t="inlineStr">
        <is>
          <t> </t>
        </is>
      </c>
      <c r="G20" s="5" t="inlineStr">
        <is>
          <t> </t>
        </is>
      </c>
      <c r="H20" s="5" t="inlineStr">
        <is>
          <t> </t>
        </is>
      </c>
      <c r="I20" s="5" t="inlineStr">
        <is>
          <t> </t>
        </is>
      </c>
      <c r="J20" s="5" t="inlineStr">
        <is>
          <t> </t>
        </is>
      </c>
      <c r="K20" s="6" t="inlineStr">
        <is>
          <t> </t>
        </is>
      </c>
    </row>
    <row r="21" ht="24" customHeight="1">
      <c r="A21" s="8" t="inlineStr">
        <is>
          <t>Slips/1 Month</t>
        </is>
      </c>
      <c r="B21" s="11" t="inlineStr">
        <is>
          <t>base × 1</t>
        </is>
      </c>
      <c r="C21" s="5" t="inlineStr">
        <is>
          <t> </t>
        </is>
      </c>
      <c r="D21" s="6" t="inlineStr">
        <is>
          <t> </t>
        </is>
      </c>
      <c r="E21" s="11" t="inlineStr">
        <is>
          <t>จำนวนสลิปทั้งหมดในรอบสัญญา · J = 1,000,000</t>
        </is>
      </c>
      <c r="F21" s="5" t="inlineStr">
        <is>
          <t> </t>
        </is>
      </c>
      <c r="G21" s="5" t="inlineStr">
        <is>
          <t> </t>
        </is>
      </c>
      <c r="H21" s="5" t="inlineStr">
        <is>
          <t> </t>
        </is>
      </c>
      <c r="I21" s="5" t="inlineStr">
        <is>
          <t> </t>
        </is>
      </c>
      <c r="J21" s="5" t="inlineStr">
        <is>
          <t> </t>
        </is>
      </c>
      <c r="K21" s="6" t="inlineStr">
        <is>
          <t> </t>
        </is>
      </c>
    </row>
    <row r="22" ht="24" customHeight="1">
      <c r="A22" s="8" t="inlineStr">
        <is>
          <t>Price/1 Month</t>
        </is>
      </c>
      <c r="B22" s="11" t="inlineStr">
        <is>
          <t>Slips × 0.125</t>
        </is>
      </c>
      <c r="C22" s="5" t="inlineStr">
        <is>
          <t> </t>
        </is>
      </c>
      <c r="D22" s="6" t="inlineStr">
        <is>
          <t> </t>
        </is>
      </c>
      <c r="E22" s="11" t="inlineStr">
        <is>
          <t>รายได้รวมที่ EasySlip รับจากลูกค้า · J = 125,000 บาท</t>
        </is>
      </c>
      <c r="F22" s="5" t="inlineStr">
        <is>
          <t> </t>
        </is>
      </c>
      <c r="G22" s="5" t="inlineStr">
        <is>
          <t> </t>
        </is>
      </c>
      <c r="H22" s="5" t="inlineStr">
        <is>
          <t> </t>
        </is>
      </c>
      <c r="I22" s="5" t="inlineStr">
        <is>
          <t> </t>
        </is>
      </c>
      <c r="J22" s="5" t="inlineStr">
        <is>
          <t> </t>
        </is>
      </c>
      <c r="K22" s="6" t="inlineStr">
        <is>
          <t> </t>
        </is>
      </c>
    </row>
    <row r="23" ht="24" customHeight="1">
      <c r="A23" s="8" t="inlineStr">
        <is>
          <t>Cost (A)</t>
        </is>
      </c>
      <c r="B23" s="11" t="inlineStr">
        <is>
          <t>Slips × 0.11</t>
        </is>
      </c>
      <c r="C23" s="5" t="inlineStr">
        <is>
          <t> </t>
        </is>
      </c>
      <c r="D23" s="6" t="inlineStr">
        <is>
          <t> </t>
        </is>
      </c>
      <c r="E23" s="11" t="inlineStr">
        <is>
          <t>ต้นทุนรวมที่จ่าย KBank (Scenario A) · J = 110,000 บาท</t>
        </is>
      </c>
      <c r="F23" s="5" t="inlineStr">
        <is>
          <t> </t>
        </is>
      </c>
      <c r="G23" s="5" t="inlineStr">
        <is>
          <t> </t>
        </is>
      </c>
      <c r="H23" s="5" t="inlineStr">
        <is>
          <t> </t>
        </is>
      </c>
      <c r="I23" s="5" t="inlineStr">
        <is>
          <t> </t>
        </is>
      </c>
      <c r="J23" s="5" t="inlineStr">
        <is>
          <t> </t>
        </is>
      </c>
      <c r="K23" s="6" t="inlineStr">
        <is>
          <t> </t>
        </is>
      </c>
    </row>
    <row r="24" ht="24" customHeight="1">
      <c r="A24" s="8" t="inlineStr">
        <is>
          <t>GP (A)</t>
        </is>
      </c>
      <c r="B24" s="11" t="inlineStr">
        <is>
          <t>Price − Cost (A)</t>
        </is>
      </c>
      <c r="C24" s="5" t="inlineStr">
        <is>
          <t> </t>
        </is>
      </c>
      <c r="D24" s="6" t="inlineStr">
        <is>
          <t> </t>
        </is>
      </c>
      <c r="E24" s="11" t="inlineStr">
        <is>
          <t>กำไรขั้นต้น Scenario A · J = 15,000 บาท</t>
        </is>
      </c>
      <c r="F24" s="5" t="inlineStr">
        <is>
          <t> </t>
        </is>
      </c>
      <c r="G24" s="5" t="inlineStr">
        <is>
          <t> </t>
        </is>
      </c>
      <c r="H24" s="5" t="inlineStr">
        <is>
          <t> </t>
        </is>
      </c>
      <c r="I24" s="5" t="inlineStr">
        <is>
          <t> </t>
        </is>
      </c>
      <c r="J24" s="5" t="inlineStr">
        <is>
          <t> </t>
        </is>
      </c>
      <c r="K24" s="6" t="inlineStr">
        <is>
          <t> </t>
        </is>
      </c>
    </row>
    <row r="25" ht="24" customHeight="1">
      <c r="A25" s="8" t="inlineStr">
        <is>
          <t>Comm @3%</t>
        </is>
      </c>
      <c r="B25" s="11" t="inlineStr">
        <is>
          <t>Price × 0.03</t>
        </is>
      </c>
      <c r="C25" s="5" t="inlineStr">
        <is>
          <t> </t>
        </is>
      </c>
      <c r="D25" s="6" t="inlineStr">
        <is>
          <t> </t>
        </is>
      </c>
      <c r="E25" s="11" t="inlineStr">
        <is>
          <t>ค่าคอมมิชชันเซลส์ Scenario A · J = 3,750 บาท</t>
        </is>
      </c>
      <c r="F25" s="5" t="inlineStr">
        <is>
          <t> </t>
        </is>
      </c>
      <c r="G25" s="5" t="inlineStr">
        <is>
          <t> </t>
        </is>
      </c>
      <c r="H25" s="5" t="inlineStr">
        <is>
          <t> </t>
        </is>
      </c>
      <c r="I25" s="5" t="inlineStr">
        <is>
          <t> </t>
        </is>
      </c>
      <c r="J25" s="5" t="inlineStr">
        <is>
          <t> </t>
        </is>
      </c>
      <c r="K25" s="6" t="inlineStr">
        <is>
          <t> </t>
        </is>
      </c>
    </row>
    <row r="26" ht="24" customHeight="1">
      <c r="A26" s="8" t="inlineStr">
        <is>
          <t>Net GP (A)</t>
        </is>
      </c>
      <c r="B26" s="11" t="inlineStr">
        <is>
          <t>GP − Comm</t>
        </is>
      </c>
      <c r="C26" s="5" t="inlineStr">
        <is>
          <t> </t>
        </is>
      </c>
      <c r="D26" s="6" t="inlineStr">
        <is>
          <t> </t>
        </is>
      </c>
      <c r="E26" s="11" t="inlineStr">
        <is>
          <t>กำไรสุทธิหลังหักคอมมิชชัน Scenario A · J = 11,250 บาท</t>
        </is>
      </c>
      <c r="F26" s="5" t="inlineStr">
        <is>
          <t> </t>
        </is>
      </c>
      <c r="G26" s="5" t="inlineStr">
        <is>
          <t> </t>
        </is>
      </c>
      <c r="H26" s="5" t="inlineStr">
        <is>
          <t> </t>
        </is>
      </c>
      <c r="I26" s="5" t="inlineStr">
        <is>
          <t> </t>
        </is>
      </c>
      <c r="J26" s="5" t="inlineStr">
        <is>
          <t> </t>
        </is>
      </c>
      <c r="K26" s="6" t="inlineStr">
        <is>
          <t> </t>
        </is>
      </c>
    </row>
    <row r="27" ht="24" customHeight="1">
      <c r="A27" s="8" t="inlineStr">
        <is>
          <t>Cost (B)</t>
        </is>
      </c>
      <c r="B27" s="11" t="inlineStr">
        <is>
          <t>Slips × 0.077</t>
        </is>
      </c>
      <c r="C27" s="5" t="inlineStr">
        <is>
          <t> </t>
        </is>
      </c>
      <c r="D27" s="6" t="inlineStr">
        <is>
          <t> </t>
        </is>
      </c>
      <c r="E27" s="11" t="inlineStr">
        <is>
          <t>ต้นทุน Scenario B (ส่วนผสม) · J = 77,000 บาท</t>
        </is>
      </c>
      <c r="F27" s="5" t="inlineStr">
        <is>
          <t> </t>
        </is>
      </c>
      <c r="G27" s="5" t="inlineStr">
        <is>
          <t> </t>
        </is>
      </c>
      <c r="H27" s="5" t="inlineStr">
        <is>
          <t> </t>
        </is>
      </c>
      <c r="I27" s="5" t="inlineStr">
        <is>
          <t> </t>
        </is>
      </c>
      <c r="J27" s="5" t="inlineStr">
        <is>
          <t> </t>
        </is>
      </c>
      <c r="K27" s="6" t="inlineStr">
        <is>
          <t> </t>
        </is>
      </c>
    </row>
    <row r="28" ht="24" customHeight="1">
      <c r="A28" s="8" t="inlineStr">
        <is>
          <t>GP (B)</t>
        </is>
      </c>
      <c r="B28" s="11" t="inlineStr">
        <is>
          <t>Price − Cost (B)</t>
        </is>
      </c>
      <c r="C28" s="5" t="inlineStr">
        <is>
          <t> </t>
        </is>
      </c>
      <c r="D28" s="6" t="inlineStr">
        <is>
          <t> </t>
        </is>
      </c>
      <c r="E28" s="11" t="inlineStr">
        <is>
          <t>กำไรขั้นต้น Scenario B · J = 48,000 บาท</t>
        </is>
      </c>
      <c r="F28" s="5" t="inlineStr">
        <is>
          <t> </t>
        </is>
      </c>
      <c r="G28" s="5" t="inlineStr">
        <is>
          <t> </t>
        </is>
      </c>
      <c r="H28" s="5" t="inlineStr">
        <is>
          <t> </t>
        </is>
      </c>
      <c r="I28" s="5" t="inlineStr">
        <is>
          <t> </t>
        </is>
      </c>
      <c r="J28" s="5" t="inlineStr">
        <is>
          <t> </t>
        </is>
      </c>
      <c r="K28" s="6" t="inlineStr">
        <is>
          <t> </t>
        </is>
      </c>
    </row>
    <row r="29" ht="24" customHeight="1">
      <c r="A29" s="8" t="inlineStr">
        <is>
          <t>Comm @8%</t>
        </is>
      </c>
      <c r="B29" s="11" t="inlineStr">
        <is>
          <t>Price × 0.08</t>
        </is>
      </c>
      <c r="C29" s="5" t="inlineStr">
        <is>
          <t> </t>
        </is>
      </c>
      <c r="D29" s="6" t="inlineStr">
        <is>
          <t> </t>
        </is>
      </c>
      <c r="E29" s="11" t="inlineStr">
        <is>
          <t>ค่าคอมมิชชันเซลส์ Scenario B · J = 10,000 บาท</t>
        </is>
      </c>
      <c r="F29" s="5" t="inlineStr">
        <is>
          <t> </t>
        </is>
      </c>
      <c r="G29" s="5" t="inlineStr">
        <is>
          <t> </t>
        </is>
      </c>
      <c r="H29" s="5" t="inlineStr">
        <is>
          <t> </t>
        </is>
      </c>
      <c r="I29" s="5" t="inlineStr">
        <is>
          <t> </t>
        </is>
      </c>
      <c r="J29" s="5" t="inlineStr">
        <is>
          <t> </t>
        </is>
      </c>
      <c r="K29" s="6" t="inlineStr">
        <is>
          <t> </t>
        </is>
      </c>
    </row>
    <row r="30" ht="24" customHeight="1">
      <c r="A30" s="8" t="inlineStr">
        <is>
          <t>Net GP (B)</t>
        </is>
      </c>
      <c r="B30" s="11" t="inlineStr">
        <is>
          <t>GP − Comm</t>
        </is>
      </c>
      <c r="C30" s="5" t="inlineStr">
        <is>
          <t> </t>
        </is>
      </c>
      <c r="D30" s="6" t="inlineStr">
        <is>
          <t> </t>
        </is>
      </c>
      <c r="E30" s="11" t="inlineStr">
        <is>
          <t>กำไรสุทธิหลังหักคอมมิชชัน Scenario B · J = 38,000 บาท</t>
        </is>
      </c>
      <c r="F30" s="5" t="inlineStr">
        <is>
          <t> </t>
        </is>
      </c>
      <c r="G30" s="5" t="inlineStr">
        <is>
          <t> </t>
        </is>
      </c>
      <c r="H30" s="5" t="inlineStr">
        <is>
          <t> </t>
        </is>
      </c>
      <c r="I30" s="5" t="inlineStr">
        <is>
          <t> </t>
        </is>
      </c>
      <c r="J30" s="5" t="inlineStr">
        <is>
          <t> </t>
        </is>
      </c>
      <c r="K30" s="6" t="inlineStr">
        <is>
          <t> </t>
        </is>
      </c>
    </row>
    <row r="31" ht="24" customHeight="1">
      <c r="A31" s="8" t="inlineStr">
        <is>
          <t>รวม (Total)</t>
        </is>
      </c>
      <c r="B31" s="11" t="inlineStr">
        <is>
          <t>SUM(A–J)</t>
        </is>
      </c>
      <c r="C31" s="5" t="inlineStr">
        <is>
          <t> </t>
        </is>
      </c>
      <c r="D31" s="6" t="inlineStr">
        <is>
          <t> </t>
        </is>
      </c>
      <c r="E31" s="11" t="inlineStr">
        <is>
          <t>ผลรวมทุก tier ใช้ดูเพดานยอดรวมถ้าขายได้ครบทุกแพ็ก</t>
        </is>
      </c>
      <c r="F31" s="5" t="inlineStr">
        <is>
          <t> </t>
        </is>
      </c>
      <c r="G31" s="5" t="inlineStr">
        <is>
          <t> </t>
        </is>
      </c>
      <c r="H31" s="5" t="inlineStr">
        <is>
          <t> </t>
        </is>
      </c>
      <c r="I31" s="5" t="inlineStr">
        <is>
          <t> </t>
        </is>
      </c>
      <c r="J31" s="5" t="inlineStr">
        <is>
          <t> </t>
        </is>
      </c>
      <c r="K31" s="6" t="inlineStr">
        <is>
          <t> </t>
        </is>
      </c>
    </row>
    <row r="32"/>
    <row r="33" ht="26" customHeight="1">
      <c r="A33" s="4" t="inlineStr">
        <is>
          <t>💡 จุดที่ต้องสังเกตในตารางนี้</t>
        </is>
      </c>
      <c r="B33" s="5" t="inlineStr">
        <is>
          <t> </t>
        </is>
      </c>
      <c r="C33" s="5" t="inlineStr">
        <is>
          <t> </t>
        </is>
      </c>
      <c r="D33" s="5" t="inlineStr">
        <is>
          <t> </t>
        </is>
      </c>
      <c r="E33" s="5" t="inlineStr">
        <is>
          <t> </t>
        </is>
      </c>
      <c r="F33" s="5" t="inlineStr">
        <is>
          <t> </t>
        </is>
      </c>
      <c r="G33" s="5" t="inlineStr">
        <is>
          <t> </t>
        </is>
      </c>
      <c r="H33" s="5" t="inlineStr">
        <is>
          <t> </t>
        </is>
      </c>
      <c r="I33" s="5" t="inlineStr">
        <is>
          <t> </t>
        </is>
      </c>
      <c r="J33" s="5" t="inlineStr">
        <is>
          <t> </t>
        </is>
      </c>
      <c r="K33" s="6" t="inlineStr">
        <is>
          <t> </t>
        </is>
      </c>
    </row>
    <row r="34" ht="24" customHeight="1">
      <c r="A34" s="25" t="inlineStr">
        <is>
          <t>•</t>
        </is>
      </c>
      <c r="B34" s="11" t="inlineStr">
        <is>
          <t>Scenario A = ลูกค้าใช้ Other-source 100% (กรณีที่เลวร้ายที่สุด) — อัตรากำไรบาง ค่าคอมมิชชัน 3%</t>
        </is>
      </c>
      <c r="C34" s="5" t="inlineStr">
        <is>
          <t> </t>
        </is>
      </c>
      <c r="D34" s="5" t="inlineStr">
        <is>
          <t> </t>
        </is>
      </c>
      <c r="E34" s="5" t="inlineStr">
        <is>
          <t> </t>
        </is>
      </c>
      <c r="F34" s="5" t="inlineStr">
        <is>
          <t> </t>
        </is>
      </c>
      <c r="G34" s="5" t="inlineStr">
        <is>
          <t> </t>
        </is>
      </c>
      <c r="H34" s="5" t="inlineStr">
        <is>
          <t> </t>
        </is>
      </c>
      <c r="I34" s="5" t="inlineStr">
        <is>
          <t> </t>
        </is>
      </c>
      <c r="J34" s="5" t="inlineStr">
        <is>
          <t> </t>
        </is>
      </c>
      <c r="K34" s="6" t="inlineStr">
        <is>
          <t> </t>
        </is>
      </c>
    </row>
    <row r="35" ht="24" customHeight="1">
      <c r="A35" s="25" t="inlineStr">
        <is>
          <t>•</t>
        </is>
      </c>
      <c r="B35" s="11" t="inlineStr">
        <is>
          <t>Scenario B = ส่วนผสม ~30/70 — อัตรากำไรหนา ค่าคอมมิชชัน 8%</t>
        </is>
      </c>
      <c r="C35" s="5" t="inlineStr">
        <is>
          <t> </t>
        </is>
      </c>
      <c r="D35" s="5" t="inlineStr">
        <is>
          <t> </t>
        </is>
      </c>
      <c r="E35" s="5" t="inlineStr">
        <is>
          <t> </t>
        </is>
      </c>
      <c r="F35" s="5" t="inlineStr">
        <is>
          <t> </t>
        </is>
      </c>
      <c r="G35" s="5" t="inlineStr">
        <is>
          <t> </t>
        </is>
      </c>
      <c r="H35" s="5" t="inlineStr">
        <is>
          <t> </t>
        </is>
      </c>
      <c r="I35" s="5" t="inlineStr">
        <is>
          <t> </t>
        </is>
      </c>
      <c r="J35" s="5" t="inlineStr">
        <is>
          <t> </t>
        </is>
      </c>
      <c r="K35" s="6" t="inlineStr">
        <is>
          <t> </t>
        </is>
      </c>
    </row>
    <row r="36" ht="24" customHeight="1">
      <c r="A36" s="25" t="inlineStr">
        <is>
          <t>•</t>
        </is>
      </c>
      <c r="B36" s="11" t="inlineStr">
        <is>
          <t>ค่าใน Net GP คือกำไรหลังหักค่าคอมมิชชันแล้ว ยังไม่หักค่าใช้จ่ายของบริษัท</t>
        </is>
      </c>
      <c r="C36" s="5" t="inlineStr">
        <is>
          <t> </t>
        </is>
      </c>
      <c r="D36" s="5" t="inlineStr">
        <is>
          <t> </t>
        </is>
      </c>
      <c r="E36" s="5" t="inlineStr">
        <is>
          <t> </t>
        </is>
      </c>
      <c r="F36" s="5" t="inlineStr">
        <is>
          <t> </t>
        </is>
      </c>
      <c r="G36" s="5" t="inlineStr">
        <is>
          <t> </t>
        </is>
      </c>
      <c r="H36" s="5" t="inlineStr">
        <is>
          <t> </t>
        </is>
      </c>
      <c r="I36" s="5" t="inlineStr">
        <is>
          <t> </t>
        </is>
      </c>
      <c r="J36" s="5" t="inlineStr">
        <is>
          <t> </t>
        </is>
      </c>
      <c r="K36" s="6" t="inlineStr">
        <is>
          <t> </t>
        </is>
      </c>
    </row>
    <row r="37" ht="24" customHeight="1">
      <c r="A37" s="25" t="inlineStr">
        <is>
          <t>•</t>
        </is>
      </c>
      <c r="B37" s="11" t="inlineStr">
        <is>
          <t>ถ้าลูกค้าซื้อจำนวนสลิปนอกตาราง → เปิดแท็บ Per-Slip Detail คำนวณเอง</t>
        </is>
      </c>
      <c r="C37" s="5" t="inlineStr">
        <is>
          <t> </t>
        </is>
      </c>
      <c r="D37" s="5" t="inlineStr">
        <is>
          <t> </t>
        </is>
      </c>
      <c r="E37" s="5" t="inlineStr">
        <is>
          <t> </t>
        </is>
      </c>
      <c r="F37" s="5" t="inlineStr">
        <is>
          <t> </t>
        </is>
      </c>
      <c r="G37" s="5" t="inlineStr">
        <is>
          <t> </t>
        </is>
      </c>
      <c r="H37" s="5" t="inlineStr">
        <is>
          <t> </t>
        </is>
      </c>
      <c r="I37" s="5" t="inlineStr">
        <is>
          <t> </t>
        </is>
      </c>
      <c r="J37" s="5" t="inlineStr">
        <is>
          <t> </t>
        </is>
      </c>
      <c r="K37" s="6" t="inlineStr">
        <is>
          <t> </t>
        </is>
      </c>
    </row>
  </sheetData>
  <mergeCells count="38">
    <mergeCell ref="C1:K1"/>
    <mergeCell ref="E26:K26"/>
    <mergeCell ref="B23:D23"/>
    <mergeCell ref="E27:K27"/>
    <mergeCell ref="B29:D29"/>
    <mergeCell ref="E25:K25"/>
    <mergeCell ref="B36:K36"/>
    <mergeCell ref="C2:K2"/>
    <mergeCell ref="B28:D28"/>
    <mergeCell ref="E22:K22"/>
    <mergeCell ref="B19:D19"/>
    <mergeCell ref="E21:K21"/>
    <mergeCell ref="B35:K35"/>
    <mergeCell ref="B30:D30"/>
    <mergeCell ref="E24:K24"/>
    <mergeCell ref="A4:C4"/>
    <mergeCell ref="B24:D24"/>
    <mergeCell ref="B20:D20"/>
    <mergeCell ref="H4:K4"/>
    <mergeCell ref="E23:K23"/>
    <mergeCell ref="A18:K18"/>
    <mergeCell ref="B26:D26"/>
    <mergeCell ref="E29:K29"/>
    <mergeCell ref="A33:K33"/>
    <mergeCell ref="E20:K20"/>
    <mergeCell ref="A1:B2"/>
    <mergeCell ref="B25:D25"/>
    <mergeCell ref="E19:K19"/>
    <mergeCell ref="E28:K28"/>
    <mergeCell ref="E31:K31"/>
    <mergeCell ref="B31:D31"/>
    <mergeCell ref="B22:D22"/>
    <mergeCell ref="B37:K37"/>
    <mergeCell ref="E30:K30"/>
    <mergeCell ref="B27:D27"/>
    <mergeCell ref="B21:D21"/>
    <mergeCell ref="B34:K34"/>
    <mergeCell ref="D4:G4"/>
  </mergeCells>
  <pageMargins left="0.75" right="0.75" top="1" bottom="1" header="0.5" footer="0.5"/>
  <ignoredErrors>
    <ignoredError sqref="A1:ZZ1000" calculatedColumn="1" emptyCellReference="1" evalError="1" formula="1" formulaRange="1" listDataValidation="1" numberStoredAsText="1" twoDigitTextYear="1" unlockedFormula="1"/>
  </ignoredError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</cols>
  <sheetData>
    <row r="1" ht="32" customHeight="1">
      <c r="A1" s="1" t="inlineStr">
        <is>
          <t>THUNDER
API</t>
        </is>
      </c>
      <c r="C1" s="2" t="inlineStr">
        <is>
          <t>COMMISSION TABLE — 12 MONTH</t>
        </is>
      </c>
    </row>
    <row r="2" ht="22" customHeight="1">
      <c r="C2" s="3" t="inlineStr">
        <is>
          <t>ตัวเลขทั้งหมดคำนวณจากค่า Settings ในแท็บ Summary · ตัวคูณ = 12 เดือน · อัปเดต % คอมมิชชันที่ Summary แล้ว ทุกช่องจะอัปเดตอัตโนมัติ</t>
        </is>
      </c>
    </row>
    <row r="3"/>
    <row r="4" ht="26" customHeight="1">
      <c r="A4" s="4" t="inlineStr">
        <is>
          <t>ดีลและราคา</t>
        </is>
      </c>
      <c r="B4" s="5" t="inlineStr">
        <is>
          <t> </t>
        </is>
      </c>
      <c r="C4" s="6" t="inlineStr">
        <is>
          <t> </t>
        </is>
      </c>
      <c r="D4" s="4" t="inlineStr">
        <is>
          <t>SCENARIO A — ต้นทุนจากค่า Settings</t>
        </is>
      </c>
      <c r="E4" s="5" t="inlineStr">
        <is>
          <t> </t>
        </is>
      </c>
      <c r="F4" s="5" t="inlineStr">
        <is>
          <t> </t>
        </is>
      </c>
      <c r="G4" s="6" t="inlineStr">
        <is>
          <t> </t>
        </is>
      </c>
      <c r="H4" s="4" t="inlineStr">
        <is>
          <t>SCENARIO B — ต้นทุนจากค่า Settings</t>
        </is>
      </c>
      <c r="I4" s="5" t="inlineStr">
        <is>
          <t> </t>
        </is>
      </c>
      <c r="J4" s="5" t="inlineStr">
        <is>
          <t> </t>
        </is>
      </c>
      <c r="K4" s="6" t="inlineStr">
        <is>
          <t> </t>
        </is>
      </c>
    </row>
    <row r="5" ht="28" customHeight="1">
      <c r="A5" s="7" t="inlineStr">
        <is>
          <t>Package</t>
        </is>
      </c>
      <c r="B5" s="7" t="inlineStr">
        <is>
          <t>Slips/12 Month</t>
        </is>
      </c>
      <c r="C5" s="7" t="inlineStr">
        <is>
          <t>Price/12 Month</t>
        </is>
      </c>
      <c r="D5" s="7" t="inlineStr">
        <is>
          <t>Cost A</t>
        </is>
      </c>
      <c r="E5" s="7" t="inlineStr">
        <is>
          <t>GP A</t>
        </is>
      </c>
      <c r="F5" s="7" t="inlineStr">
        <is>
          <t>Comm A</t>
        </is>
      </c>
      <c r="G5" s="7" t="inlineStr">
        <is>
          <t>Net GP A</t>
        </is>
      </c>
      <c r="H5" s="7" t="inlineStr">
        <is>
          <t>Cost B</t>
        </is>
      </c>
      <c r="I5" s="7" t="inlineStr">
        <is>
          <t>GP B</t>
        </is>
      </c>
      <c r="J5" s="7" t="inlineStr">
        <is>
          <t>Comm B</t>
        </is>
      </c>
      <c r="K5" s="7" t="inlineStr">
        <is>
          <t>Net GP B</t>
        </is>
      </c>
    </row>
    <row r="6">
      <c r="A6" s="8" t="inlineStr">
        <is>
          <t>Coperate A</t>
        </is>
      </c>
      <c r="B6" s="20" t="n">
        <v>1200000</v>
      </c>
      <c r="C6" s="20">
        <f>B6*Summary!$B$6</f>
        <v/>
      </c>
      <c r="D6" s="21">
        <f>B6*Summary!$B$7</f>
        <v/>
      </c>
      <c r="E6" s="21">
        <f>C6-D6</f>
        <v/>
      </c>
      <c r="F6" s="21">
        <f>C6*Summary!$B$9</f>
        <v/>
      </c>
      <c r="G6" s="21">
        <f>E6-F6</f>
        <v/>
      </c>
      <c r="H6" s="22">
        <f>B6*Summary!$B$8</f>
        <v/>
      </c>
      <c r="I6" s="22">
        <f>C6-H6</f>
        <v/>
      </c>
      <c r="J6" s="22">
        <f>C6*Summary!$B$10</f>
        <v/>
      </c>
      <c r="K6" s="22">
        <f>I6-J6</f>
        <v/>
      </c>
    </row>
    <row r="7">
      <c r="A7" s="8" t="inlineStr">
        <is>
          <t>Coperate B</t>
        </is>
      </c>
      <c r="B7" s="20" t="n">
        <v>2400000</v>
      </c>
      <c r="C7" s="20">
        <f>B7*Summary!$B$6</f>
        <v/>
      </c>
      <c r="D7" s="21">
        <f>B7*Summary!$B$7</f>
        <v/>
      </c>
      <c r="E7" s="21">
        <f>C7-D7</f>
        <v/>
      </c>
      <c r="F7" s="21">
        <f>C7*Summary!$B$9</f>
        <v/>
      </c>
      <c r="G7" s="21">
        <f>E7-F7</f>
        <v/>
      </c>
      <c r="H7" s="22">
        <f>B7*Summary!$B$8</f>
        <v/>
      </c>
      <c r="I7" s="22">
        <f>C7-H7</f>
        <v/>
      </c>
      <c r="J7" s="22">
        <f>C7*Summary!$B$10</f>
        <v/>
      </c>
      <c r="K7" s="22">
        <f>I7-J7</f>
        <v/>
      </c>
    </row>
    <row r="8">
      <c r="A8" s="8" t="inlineStr">
        <is>
          <t>Coperate C</t>
        </is>
      </c>
      <c r="B8" s="20" t="n">
        <v>3600000</v>
      </c>
      <c r="C8" s="20">
        <f>B8*Summary!$B$6</f>
        <v/>
      </c>
      <c r="D8" s="21">
        <f>B8*Summary!$B$7</f>
        <v/>
      </c>
      <c r="E8" s="21">
        <f>C8-D8</f>
        <v/>
      </c>
      <c r="F8" s="21">
        <f>C8*Summary!$B$9</f>
        <v/>
      </c>
      <c r="G8" s="21">
        <f>E8-F8</f>
        <v/>
      </c>
      <c r="H8" s="22">
        <f>B8*Summary!$B$8</f>
        <v/>
      </c>
      <c r="I8" s="22">
        <f>C8-H8</f>
        <v/>
      </c>
      <c r="J8" s="22">
        <f>C8*Summary!$B$10</f>
        <v/>
      </c>
      <c r="K8" s="22">
        <f>I8-J8</f>
        <v/>
      </c>
    </row>
    <row r="9">
      <c r="A9" s="8" t="inlineStr">
        <is>
          <t>Coperate D</t>
        </is>
      </c>
      <c r="B9" s="20" t="n">
        <v>4800000</v>
      </c>
      <c r="C9" s="20">
        <f>B9*Summary!$B$6</f>
        <v/>
      </c>
      <c r="D9" s="21">
        <f>B9*Summary!$B$7</f>
        <v/>
      </c>
      <c r="E9" s="21">
        <f>C9-D9</f>
        <v/>
      </c>
      <c r="F9" s="21">
        <f>C9*Summary!$B$9</f>
        <v/>
      </c>
      <c r="G9" s="21">
        <f>E9-F9</f>
        <v/>
      </c>
      <c r="H9" s="22">
        <f>B9*Summary!$B$8</f>
        <v/>
      </c>
      <c r="I9" s="22">
        <f>C9-H9</f>
        <v/>
      </c>
      <c r="J9" s="22">
        <f>C9*Summary!$B$10</f>
        <v/>
      </c>
      <c r="K9" s="22">
        <f>I9-J9</f>
        <v/>
      </c>
    </row>
    <row r="10">
      <c r="A10" s="8" t="inlineStr">
        <is>
          <t>Coperate E</t>
        </is>
      </c>
      <c r="B10" s="20" t="n">
        <v>6000000</v>
      </c>
      <c r="C10" s="20">
        <f>B10*Summary!$B$6</f>
        <v/>
      </c>
      <c r="D10" s="21">
        <f>B10*Summary!$B$7</f>
        <v/>
      </c>
      <c r="E10" s="21">
        <f>C10-D10</f>
        <v/>
      </c>
      <c r="F10" s="21">
        <f>C10*Summary!$B$9</f>
        <v/>
      </c>
      <c r="G10" s="21">
        <f>E10-F10</f>
        <v/>
      </c>
      <c r="H10" s="22">
        <f>B10*Summary!$B$8</f>
        <v/>
      </c>
      <c r="I10" s="22">
        <f>C10-H10</f>
        <v/>
      </c>
      <c r="J10" s="22">
        <f>C10*Summary!$B$10</f>
        <v/>
      </c>
      <c r="K10" s="22">
        <f>I10-J10</f>
        <v/>
      </c>
    </row>
    <row r="11">
      <c r="A11" s="8" t="inlineStr">
        <is>
          <t>Coperate F</t>
        </is>
      </c>
      <c r="B11" s="20" t="n">
        <v>7200000</v>
      </c>
      <c r="C11" s="20">
        <f>B11*Summary!$B$6</f>
        <v/>
      </c>
      <c r="D11" s="21">
        <f>B11*Summary!$B$7</f>
        <v/>
      </c>
      <c r="E11" s="21">
        <f>C11-D11</f>
        <v/>
      </c>
      <c r="F11" s="21">
        <f>C11*Summary!$B$9</f>
        <v/>
      </c>
      <c r="G11" s="21">
        <f>E11-F11</f>
        <v/>
      </c>
      <c r="H11" s="22">
        <f>B11*Summary!$B$8</f>
        <v/>
      </c>
      <c r="I11" s="22">
        <f>C11-H11</f>
        <v/>
      </c>
      <c r="J11" s="22">
        <f>C11*Summary!$B$10</f>
        <v/>
      </c>
      <c r="K11" s="22">
        <f>I11-J11</f>
        <v/>
      </c>
    </row>
    <row r="12">
      <c r="A12" s="8" t="inlineStr">
        <is>
          <t>Coperate G</t>
        </is>
      </c>
      <c r="B12" s="20" t="n">
        <v>8400000</v>
      </c>
      <c r="C12" s="20">
        <f>B12*Summary!$B$6</f>
        <v/>
      </c>
      <c r="D12" s="21">
        <f>B12*Summary!$B$7</f>
        <v/>
      </c>
      <c r="E12" s="21">
        <f>C12-D12</f>
        <v/>
      </c>
      <c r="F12" s="21">
        <f>C12*Summary!$B$9</f>
        <v/>
      </c>
      <c r="G12" s="21">
        <f>E12-F12</f>
        <v/>
      </c>
      <c r="H12" s="22">
        <f>B12*Summary!$B$8</f>
        <v/>
      </c>
      <c r="I12" s="22">
        <f>C12-H12</f>
        <v/>
      </c>
      <c r="J12" s="22">
        <f>C12*Summary!$B$10</f>
        <v/>
      </c>
      <c r="K12" s="22">
        <f>I12-J12</f>
        <v/>
      </c>
    </row>
    <row r="13">
      <c r="A13" s="8" t="inlineStr">
        <is>
          <t>Coperate H</t>
        </is>
      </c>
      <c r="B13" s="20" t="n">
        <v>9600000</v>
      </c>
      <c r="C13" s="20">
        <f>B13*Summary!$B$6</f>
        <v/>
      </c>
      <c r="D13" s="21">
        <f>B13*Summary!$B$7</f>
        <v/>
      </c>
      <c r="E13" s="21">
        <f>C13-D13</f>
        <v/>
      </c>
      <c r="F13" s="21">
        <f>C13*Summary!$B$9</f>
        <v/>
      </c>
      <c r="G13" s="21">
        <f>E13-F13</f>
        <v/>
      </c>
      <c r="H13" s="22">
        <f>B13*Summary!$B$8</f>
        <v/>
      </c>
      <c r="I13" s="22">
        <f>C13-H13</f>
        <v/>
      </c>
      <c r="J13" s="22">
        <f>C13*Summary!$B$10</f>
        <v/>
      </c>
      <c r="K13" s="22">
        <f>I13-J13</f>
        <v/>
      </c>
    </row>
    <row r="14">
      <c r="A14" s="8" t="inlineStr">
        <is>
          <t>Coperate I</t>
        </is>
      </c>
      <c r="B14" s="20" t="n">
        <v>10800000</v>
      </c>
      <c r="C14" s="20">
        <f>B14*Summary!$B$6</f>
        <v/>
      </c>
      <c r="D14" s="21">
        <f>B14*Summary!$B$7</f>
        <v/>
      </c>
      <c r="E14" s="21">
        <f>C14-D14</f>
        <v/>
      </c>
      <c r="F14" s="21">
        <f>C14*Summary!$B$9</f>
        <v/>
      </c>
      <c r="G14" s="21">
        <f>E14-F14</f>
        <v/>
      </c>
      <c r="H14" s="22">
        <f>B14*Summary!$B$8</f>
        <v/>
      </c>
      <c r="I14" s="22">
        <f>C14-H14</f>
        <v/>
      </c>
      <c r="J14" s="22">
        <f>C14*Summary!$B$10</f>
        <v/>
      </c>
      <c r="K14" s="22">
        <f>I14-J14</f>
        <v/>
      </c>
    </row>
    <row r="15">
      <c r="A15" s="8" t="inlineStr">
        <is>
          <t>Coperate J</t>
        </is>
      </c>
      <c r="B15" s="20" t="n">
        <v>12000000</v>
      </c>
      <c r="C15" s="20">
        <f>B15*Summary!$B$6</f>
        <v/>
      </c>
      <c r="D15" s="21">
        <f>B15*Summary!$B$7</f>
        <v/>
      </c>
      <c r="E15" s="21">
        <f>C15-D15</f>
        <v/>
      </c>
      <c r="F15" s="21">
        <f>C15*Summary!$B$9</f>
        <v/>
      </c>
      <c r="G15" s="21">
        <f>E15-F15</f>
        <v/>
      </c>
      <c r="H15" s="22">
        <f>B15*Summary!$B$8</f>
        <v/>
      </c>
      <c r="I15" s="22">
        <f>C15-H15</f>
        <v/>
      </c>
      <c r="J15" s="22">
        <f>C15*Summary!$B$10</f>
        <v/>
      </c>
      <c r="K15" s="22">
        <f>I15-J15</f>
        <v/>
      </c>
    </row>
    <row r="16">
      <c r="A16" s="23" t="inlineStr">
        <is>
          <t>รวม</t>
        </is>
      </c>
      <c r="B16" s="24">
        <f>SUM(B6:B15)</f>
        <v/>
      </c>
      <c r="C16" s="24">
        <f>SUM(C6:C15)</f>
        <v/>
      </c>
      <c r="D16" s="24">
        <f>SUM(D6:D15)</f>
        <v/>
      </c>
      <c r="E16" s="24">
        <f>SUM(E6:E15)</f>
        <v/>
      </c>
      <c r="F16" s="24">
        <f>SUM(F6:F15)</f>
        <v/>
      </c>
      <c r="G16" s="24">
        <f>SUM(G6:G15)</f>
        <v/>
      </c>
      <c r="H16" s="24">
        <f>SUM(H6:H15)</f>
        <v/>
      </c>
      <c r="I16" s="24">
        <f>SUM(I6:I15)</f>
        <v/>
      </c>
      <c r="J16" s="24">
        <f>SUM(J6:J15)</f>
        <v/>
      </c>
      <c r="K16" s="24">
        <f>SUM(K6:K15)</f>
        <v/>
      </c>
    </row>
    <row r="17"/>
    <row r="18" ht="26" customHeight="1">
      <c r="A18" s="4" t="inlineStr">
        <is>
          <t>📖 คำอธิบายช่อง (Field Guide — 12 Month)</t>
        </is>
      </c>
      <c r="B18" s="5" t="inlineStr">
        <is>
          <t> </t>
        </is>
      </c>
      <c r="C18" s="5" t="inlineStr">
        <is>
          <t> </t>
        </is>
      </c>
      <c r="D18" s="5" t="inlineStr">
        <is>
          <t> </t>
        </is>
      </c>
      <c r="E18" s="5" t="inlineStr">
        <is>
          <t> </t>
        </is>
      </c>
      <c r="F18" s="5" t="inlineStr">
        <is>
          <t> </t>
        </is>
      </c>
      <c r="G18" s="5" t="inlineStr">
        <is>
          <t> </t>
        </is>
      </c>
      <c r="H18" s="5" t="inlineStr">
        <is>
          <t> </t>
        </is>
      </c>
      <c r="I18" s="5" t="inlineStr">
        <is>
          <t> </t>
        </is>
      </c>
      <c r="J18" s="5" t="inlineStr">
        <is>
          <t> </t>
        </is>
      </c>
      <c r="K18" s="6" t="inlineStr">
        <is>
          <t> </t>
        </is>
      </c>
    </row>
    <row r="19">
      <c r="A19" s="7" t="inlineStr">
        <is>
          <t>ช่อง</t>
        </is>
      </c>
      <c r="B19" s="7" t="inlineStr">
        <is>
          <t>สูตร</t>
        </is>
      </c>
      <c r="C19" s="5" t="inlineStr">
        <is>
          <t> </t>
        </is>
      </c>
      <c r="D19" s="6" t="inlineStr">
        <is>
          <t> </t>
        </is>
      </c>
      <c r="E19" s="7" t="inlineStr">
        <is>
          <t>ความหมาย</t>
        </is>
      </c>
      <c r="F19" s="5" t="inlineStr">
        <is>
          <t> </t>
        </is>
      </c>
      <c r="G19" s="5" t="inlineStr">
        <is>
          <t> </t>
        </is>
      </c>
      <c r="H19" s="5" t="inlineStr">
        <is>
          <t> </t>
        </is>
      </c>
      <c r="I19" s="5" t="inlineStr">
        <is>
          <t> </t>
        </is>
      </c>
      <c r="J19" s="5" t="inlineStr">
        <is>
          <t> </t>
        </is>
      </c>
      <c r="K19" s="6" t="inlineStr">
        <is>
          <t> </t>
        </is>
      </c>
    </row>
    <row r="20" ht="24" customHeight="1">
      <c r="A20" s="8" t="inlineStr">
        <is>
          <t>Package</t>
        </is>
      </c>
      <c r="B20" s="11" t="inlineStr">
        <is>
          <t>—</t>
        </is>
      </c>
      <c r="C20" s="5" t="inlineStr">
        <is>
          <t> </t>
        </is>
      </c>
      <c r="D20" s="6" t="inlineStr">
        <is>
          <t> </t>
        </is>
      </c>
      <c r="E20" s="11" t="inlineStr">
        <is>
          <t>ระดับแพ็กเกจ MOU (Coperate A → J) ตามจำนวนสลิปที่ลูกค้าซื้อ</t>
        </is>
      </c>
      <c r="F20" s="5" t="inlineStr">
        <is>
          <t> </t>
        </is>
      </c>
      <c r="G20" s="5" t="inlineStr">
        <is>
          <t> </t>
        </is>
      </c>
      <c r="H20" s="5" t="inlineStr">
        <is>
          <t> </t>
        </is>
      </c>
      <c r="I20" s="5" t="inlineStr">
        <is>
          <t> </t>
        </is>
      </c>
      <c r="J20" s="5" t="inlineStr">
        <is>
          <t> </t>
        </is>
      </c>
      <c r="K20" s="6" t="inlineStr">
        <is>
          <t> </t>
        </is>
      </c>
    </row>
    <row r="21" ht="24" customHeight="1">
      <c r="A21" s="8" t="inlineStr">
        <is>
          <t>Slips/12 Month</t>
        </is>
      </c>
      <c r="B21" s="11" t="inlineStr">
        <is>
          <t>base × 12</t>
        </is>
      </c>
      <c r="C21" s="5" t="inlineStr">
        <is>
          <t> </t>
        </is>
      </c>
      <c r="D21" s="6" t="inlineStr">
        <is>
          <t> </t>
        </is>
      </c>
      <c r="E21" s="11" t="inlineStr">
        <is>
          <t>จำนวนสลิปทั้งหมดในรอบสัญญา · J = 12,000,000</t>
        </is>
      </c>
      <c r="F21" s="5" t="inlineStr">
        <is>
          <t> </t>
        </is>
      </c>
      <c r="G21" s="5" t="inlineStr">
        <is>
          <t> </t>
        </is>
      </c>
      <c r="H21" s="5" t="inlineStr">
        <is>
          <t> </t>
        </is>
      </c>
      <c r="I21" s="5" t="inlineStr">
        <is>
          <t> </t>
        </is>
      </c>
      <c r="J21" s="5" t="inlineStr">
        <is>
          <t> </t>
        </is>
      </c>
      <c r="K21" s="6" t="inlineStr">
        <is>
          <t> </t>
        </is>
      </c>
    </row>
    <row r="22" ht="24" customHeight="1">
      <c r="A22" s="8" t="inlineStr">
        <is>
          <t>Price/12 Month</t>
        </is>
      </c>
      <c r="B22" s="11" t="inlineStr">
        <is>
          <t>Slips × 0.125</t>
        </is>
      </c>
      <c r="C22" s="5" t="inlineStr">
        <is>
          <t> </t>
        </is>
      </c>
      <c r="D22" s="6" t="inlineStr">
        <is>
          <t> </t>
        </is>
      </c>
      <c r="E22" s="11" t="inlineStr">
        <is>
          <t>รายได้รวมที่ EasySlip รับจากลูกค้า · J = 1,500,000 บาท</t>
        </is>
      </c>
      <c r="F22" s="5" t="inlineStr">
        <is>
          <t> </t>
        </is>
      </c>
      <c r="G22" s="5" t="inlineStr">
        <is>
          <t> </t>
        </is>
      </c>
      <c r="H22" s="5" t="inlineStr">
        <is>
          <t> </t>
        </is>
      </c>
      <c r="I22" s="5" t="inlineStr">
        <is>
          <t> </t>
        </is>
      </c>
      <c r="J22" s="5" t="inlineStr">
        <is>
          <t> </t>
        </is>
      </c>
      <c r="K22" s="6" t="inlineStr">
        <is>
          <t> </t>
        </is>
      </c>
    </row>
    <row r="23" ht="24" customHeight="1">
      <c r="A23" s="8" t="inlineStr">
        <is>
          <t>Cost (A)</t>
        </is>
      </c>
      <c r="B23" s="11" t="inlineStr">
        <is>
          <t>Slips × 0.11</t>
        </is>
      </c>
      <c r="C23" s="5" t="inlineStr">
        <is>
          <t> </t>
        </is>
      </c>
      <c r="D23" s="6" t="inlineStr">
        <is>
          <t> </t>
        </is>
      </c>
      <c r="E23" s="11" t="inlineStr">
        <is>
          <t>ต้นทุนรวมที่จ่าย KBank (Scenario A) · J = 1,320,000 บาท</t>
        </is>
      </c>
      <c r="F23" s="5" t="inlineStr">
        <is>
          <t> </t>
        </is>
      </c>
      <c r="G23" s="5" t="inlineStr">
        <is>
          <t> </t>
        </is>
      </c>
      <c r="H23" s="5" t="inlineStr">
        <is>
          <t> </t>
        </is>
      </c>
      <c r="I23" s="5" t="inlineStr">
        <is>
          <t> </t>
        </is>
      </c>
      <c r="J23" s="5" t="inlineStr">
        <is>
          <t> </t>
        </is>
      </c>
      <c r="K23" s="6" t="inlineStr">
        <is>
          <t> </t>
        </is>
      </c>
    </row>
    <row r="24" ht="24" customHeight="1">
      <c r="A24" s="8" t="inlineStr">
        <is>
          <t>GP (A)</t>
        </is>
      </c>
      <c r="B24" s="11" t="inlineStr">
        <is>
          <t>Price − Cost (A)</t>
        </is>
      </c>
      <c r="C24" s="5" t="inlineStr">
        <is>
          <t> </t>
        </is>
      </c>
      <c r="D24" s="6" t="inlineStr">
        <is>
          <t> </t>
        </is>
      </c>
      <c r="E24" s="11" t="inlineStr">
        <is>
          <t>กำไรขั้นต้น Scenario A · J = 180,000 บาท</t>
        </is>
      </c>
      <c r="F24" s="5" t="inlineStr">
        <is>
          <t> </t>
        </is>
      </c>
      <c r="G24" s="5" t="inlineStr">
        <is>
          <t> </t>
        </is>
      </c>
      <c r="H24" s="5" t="inlineStr">
        <is>
          <t> </t>
        </is>
      </c>
      <c r="I24" s="5" t="inlineStr">
        <is>
          <t> </t>
        </is>
      </c>
      <c r="J24" s="5" t="inlineStr">
        <is>
          <t> </t>
        </is>
      </c>
      <c r="K24" s="6" t="inlineStr">
        <is>
          <t> </t>
        </is>
      </c>
    </row>
    <row r="25" ht="24" customHeight="1">
      <c r="A25" s="8" t="inlineStr">
        <is>
          <t>Comm @3%</t>
        </is>
      </c>
      <c r="B25" s="11" t="inlineStr">
        <is>
          <t>Price × 0.03</t>
        </is>
      </c>
      <c r="C25" s="5" t="inlineStr">
        <is>
          <t> </t>
        </is>
      </c>
      <c r="D25" s="6" t="inlineStr">
        <is>
          <t> </t>
        </is>
      </c>
      <c r="E25" s="11" t="inlineStr">
        <is>
          <t>ค่าคอมมิชชันเซลส์ Scenario A · J = 45,000 บาท</t>
        </is>
      </c>
      <c r="F25" s="5" t="inlineStr">
        <is>
          <t> </t>
        </is>
      </c>
      <c r="G25" s="5" t="inlineStr">
        <is>
          <t> </t>
        </is>
      </c>
      <c r="H25" s="5" t="inlineStr">
        <is>
          <t> </t>
        </is>
      </c>
      <c r="I25" s="5" t="inlineStr">
        <is>
          <t> </t>
        </is>
      </c>
      <c r="J25" s="5" t="inlineStr">
        <is>
          <t> </t>
        </is>
      </c>
      <c r="K25" s="6" t="inlineStr">
        <is>
          <t> </t>
        </is>
      </c>
    </row>
    <row r="26" ht="24" customHeight="1">
      <c r="A26" s="8" t="inlineStr">
        <is>
          <t>Net GP (A)</t>
        </is>
      </c>
      <c r="B26" s="11" t="inlineStr">
        <is>
          <t>GP − Comm</t>
        </is>
      </c>
      <c r="C26" s="5" t="inlineStr">
        <is>
          <t> </t>
        </is>
      </c>
      <c r="D26" s="6" t="inlineStr">
        <is>
          <t> </t>
        </is>
      </c>
      <c r="E26" s="11" t="inlineStr">
        <is>
          <t>กำไรสุทธิหลังหักคอมมิชชัน Scenario A · J = 135,000 บาท</t>
        </is>
      </c>
      <c r="F26" s="5" t="inlineStr">
        <is>
          <t> </t>
        </is>
      </c>
      <c r="G26" s="5" t="inlineStr">
        <is>
          <t> </t>
        </is>
      </c>
      <c r="H26" s="5" t="inlineStr">
        <is>
          <t> </t>
        </is>
      </c>
      <c r="I26" s="5" t="inlineStr">
        <is>
          <t> </t>
        </is>
      </c>
      <c r="J26" s="5" t="inlineStr">
        <is>
          <t> </t>
        </is>
      </c>
      <c r="K26" s="6" t="inlineStr">
        <is>
          <t> </t>
        </is>
      </c>
    </row>
    <row r="27" ht="24" customHeight="1">
      <c r="A27" s="8" t="inlineStr">
        <is>
          <t>Cost (B)</t>
        </is>
      </c>
      <c r="B27" s="11" t="inlineStr">
        <is>
          <t>Slips × 0.077</t>
        </is>
      </c>
      <c r="C27" s="5" t="inlineStr">
        <is>
          <t> </t>
        </is>
      </c>
      <c r="D27" s="6" t="inlineStr">
        <is>
          <t> </t>
        </is>
      </c>
      <c r="E27" s="11" t="inlineStr">
        <is>
          <t>ต้นทุน Scenario B (ส่วนผสม) · J = 924,000 บาท</t>
        </is>
      </c>
      <c r="F27" s="5" t="inlineStr">
        <is>
          <t> </t>
        </is>
      </c>
      <c r="G27" s="5" t="inlineStr">
        <is>
          <t> </t>
        </is>
      </c>
      <c r="H27" s="5" t="inlineStr">
        <is>
          <t> </t>
        </is>
      </c>
      <c r="I27" s="5" t="inlineStr">
        <is>
          <t> </t>
        </is>
      </c>
      <c r="J27" s="5" t="inlineStr">
        <is>
          <t> </t>
        </is>
      </c>
      <c r="K27" s="6" t="inlineStr">
        <is>
          <t> </t>
        </is>
      </c>
    </row>
    <row r="28" ht="24" customHeight="1">
      <c r="A28" s="8" t="inlineStr">
        <is>
          <t>GP (B)</t>
        </is>
      </c>
      <c r="B28" s="11" t="inlineStr">
        <is>
          <t>Price − Cost (B)</t>
        </is>
      </c>
      <c r="C28" s="5" t="inlineStr">
        <is>
          <t> </t>
        </is>
      </c>
      <c r="D28" s="6" t="inlineStr">
        <is>
          <t> </t>
        </is>
      </c>
      <c r="E28" s="11" t="inlineStr">
        <is>
          <t>กำไรขั้นต้น Scenario B · J = 576,000 บาท</t>
        </is>
      </c>
      <c r="F28" s="5" t="inlineStr">
        <is>
          <t> </t>
        </is>
      </c>
      <c r="G28" s="5" t="inlineStr">
        <is>
          <t> </t>
        </is>
      </c>
      <c r="H28" s="5" t="inlineStr">
        <is>
          <t> </t>
        </is>
      </c>
      <c r="I28" s="5" t="inlineStr">
        <is>
          <t> </t>
        </is>
      </c>
      <c r="J28" s="5" t="inlineStr">
        <is>
          <t> </t>
        </is>
      </c>
      <c r="K28" s="6" t="inlineStr">
        <is>
          <t> </t>
        </is>
      </c>
    </row>
    <row r="29" ht="24" customHeight="1">
      <c r="A29" s="8" t="inlineStr">
        <is>
          <t>Comm @8%</t>
        </is>
      </c>
      <c r="B29" s="11" t="inlineStr">
        <is>
          <t>Price × 0.08</t>
        </is>
      </c>
      <c r="C29" s="5" t="inlineStr">
        <is>
          <t> </t>
        </is>
      </c>
      <c r="D29" s="6" t="inlineStr">
        <is>
          <t> </t>
        </is>
      </c>
      <c r="E29" s="11" t="inlineStr">
        <is>
          <t>ค่าคอมมิชชันเซลส์ Scenario B · J = 120,000 บาท</t>
        </is>
      </c>
      <c r="F29" s="5" t="inlineStr">
        <is>
          <t> </t>
        </is>
      </c>
      <c r="G29" s="5" t="inlineStr">
        <is>
          <t> </t>
        </is>
      </c>
      <c r="H29" s="5" t="inlineStr">
        <is>
          <t> </t>
        </is>
      </c>
      <c r="I29" s="5" t="inlineStr">
        <is>
          <t> </t>
        </is>
      </c>
      <c r="J29" s="5" t="inlineStr">
        <is>
          <t> </t>
        </is>
      </c>
      <c r="K29" s="6" t="inlineStr">
        <is>
          <t> </t>
        </is>
      </c>
    </row>
    <row r="30" ht="24" customHeight="1">
      <c r="A30" s="8" t="inlineStr">
        <is>
          <t>Net GP (B)</t>
        </is>
      </c>
      <c r="B30" s="11" t="inlineStr">
        <is>
          <t>GP − Comm</t>
        </is>
      </c>
      <c r="C30" s="5" t="inlineStr">
        <is>
          <t> </t>
        </is>
      </c>
      <c r="D30" s="6" t="inlineStr">
        <is>
          <t> </t>
        </is>
      </c>
      <c r="E30" s="11" t="inlineStr">
        <is>
          <t>กำไรสุทธิหลังหักคอมมิชชัน Scenario B · J = 456,000 บาท</t>
        </is>
      </c>
      <c r="F30" s="5" t="inlineStr">
        <is>
          <t> </t>
        </is>
      </c>
      <c r="G30" s="5" t="inlineStr">
        <is>
          <t> </t>
        </is>
      </c>
      <c r="H30" s="5" t="inlineStr">
        <is>
          <t> </t>
        </is>
      </c>
      <c r="I30" s="5" t="inlineStr">
        <is>
          <t> </t>
        </is>
      </c>
      <c r="J30" s="5" t="inlineStr">
        <is>
          <t> </t>
        </is>
      </c>
      <c r="K30" s="6" t="inlineStr">
        <is>
          <t> </t>
        </is>
      </c>
    </row>
    <row r="31" ht="24" customHeight="1">
      <c r="A31" s="8" t="inlineStr">
        <is>
          <t>รวม (Total)</t>
        </is>
      </c>
      <c r="B31" s="11" t="inlineStr">
        <is>
          <t>SUM(A–J)</t>
        </is>
      </c>
      <c r="C31" s="5" t="inlineStr">
        <is>
          <t> </t>
        </is>
      </c>
      <c r="D31" s="6" t="inlineStr">
        <is>
          <t> </t>
        </is>
      </c>
      <c r="E31" s="11" t="inlineStr">
        <is>
          <t>ผลรวมทุก tier ใช้ดูเพดานยอดรวมถ้าขายได้ครบทุกแพ็ก</t>
        </is>
      </c>
      <c r="F31" s="5" t="inlineStr">
        <is>
          <t> </t>
        </is>
      </c>
      <c r="G31" s="5" t="inlineStr">
        <is>
          <t> </t>
        </is>
      </c>
      <c r="H31" s="5" t="inlineStr">
        <is>
          <t> </t>
        </is>
      </c>
      <c r="I31" s="5" t="inlineStr">
        <is>
          <t> </t>
        </is>
      </c>
      <c r="J31" s="5" t="inlineStr">
        <is>
          <t> </t>
        </is>
      </c>
      <c r="K31" s="6" t="inlineStr">
        <is>
          <t> </t>
        </is>
      </c>
    </row>
    <row r="32"/>
    <row r="33" ht="26" customHeight="1">
      <c r="A33" s="4" t="inlineStr">
        <is>
          <t>💡 จุดที่ต้องสังเกตในตารางนี้</t>
        </is>
      </c>
      <c r="B33" s="5" t="inlineStr">
        <is>
          <t> </t>
        </is>
      </c>
      <c r="C33" s="5" t="inlineStr">
        <is>
          <t> </t>
        </is>
      </c>
      <c r="D33" s="5" t="inlineStr">
        <is>
          <t> </t>
        </is>
      </c>
      <c r="E33" s="5" t="inlineStr">
        <is>
          <t> </t>
        </is>
      </c>
      <c r="F33" s="5" t="inlineStr">
        <is>
          <t> </t>
        </is>
      </c>
      <c r="G33" s="5" t="inlineStr">
        <is>
          <t> </t>
        </is>
      </c>
      <c r="H33" s="5" t="inlineStr">
        <is>
          <t> </t>
        </is>
      </c>
      <c r="I33" s="5" t="inlineStr">
        <is>
          <t> </t>
        </is>
      </c>
      <c r="J33" s="5" t="inlineStr">
        <is>
          <t> </t>
        </is>
      </c>
      <c r="K33" s="6" t="inlineStr">
        <is>
          <t> </t>
        </is>
      </c>
    </row>
    <row r="34" ht="24" customHeight="1">
      <c r="A34" s="25" t="inlineStr">
        <is>
          <t>•</t>
        </is>
      </c>
      <c r="B34" s="11" t="inlineStr">
        <is>
          <t>Scenario A = ลูกค้าใช้ Other-source 100% (กรณีที่เลวร้ายที่สุด) — อัตรากำไรบาง ค่าคอมมิชชัน 3%</t>
        </is>
      </c>
      <c r="C34" s="5" t="inlineStr">
        <is>
          <t> </t>
        </is>
      </c>
      <c r="D34" s="5" t="inlineStr">
        <is>
          <t> </t>
        </is>
      </c>
      <c r="E34" s="5" t="inlineStr">
        <is>
          <t> </t>
        </is>
      </c>
      <c r="F34" s="5" t="inlineStr">
        <is>
          <t> </t>
        </is>
      </c>
      <c r="G34" s="5" t="inlineStr">
        <is>
          <t> </t>
        </is>
      </c>
      <c r="H34" s="5" t="inlineStr">
        <is>
          <t> </t>
        </is>
      </c>
      <c r="I34" s="5" t="inlineStr">
        <is>
          <t> </t>
        </is>
      </c>
      <c r="J34" s="5" t="inlineStr">
        <is>
          <t> </t>
        </is>
      </c>
      <c r="K34" s="6" t="inlineStr">
        <is>
          <t> </t>
        </is>
      </c>
    </row>
    <row r="35" ht="24" customHeight="1">
      <c r="A35" s="25" t="inlineStr">
        <is>
          <t>•</t>
        </is>
      </c>
      <c r="B35" s="11" t="inlineStr">
        <is>
          <t>Scenario B = ส่วนผสม ~30/70 — อัตรากำไรหนา ค่าคอมมิชชัน 8%</t>
        </is>
      </c>
      <c r="C35" s="5" t="inlineStr">
        <is>
          <t> </t>
        </is>
      </c>
      <c r="D35" s="5" t="inlineStr">
        <is>
          <t> </t>
        </is>
      </c>
      <c r="E35" s="5" t="inlineStr">
        <is>
          <t> </t>
        </is>
      </c>
      <c r="F35" s="5" t="inlineStr">
        <is>
          <t> </t>
        </is>
      </c>
      <c r="G35" s="5" t="inlineStr">
        <is>
          <t> </t>
        </is>
      </c>
      <c r="H35" s="5" t="inlineStr">
        <is>
          <t> </t>
        </is>
      </c>
      <c r="I35" s="5" t="inlineStr">
        <is>
          <t> </t>
        </is>
      </c>
      <c r="J35" s="5" t="inlineStr">
        <is>
          <t> </t>
        </is>
      </c>
      <c r="K35" s="6" t="inlineStr">
        <is>
          <t> </t>
        </is>
      </c>
    </row>
    <row r="36" ht="24" customHeight="1">
      <c r="A36" s="25" t="inlineStr">
        <is>
          <t>•</t>
        </is>
      </c>
      <c r="B36" s="11" t="inlineStr">
        <is>
          <t>ค่าใน Net GP คือกำไรหลังหักค่าคอมมิชชันแล้ว ยังไม่หักค่าใช้จ่ายของบริษัท</t>
        </is>
      </c>
      <c r="C36" s="5" t="inlineStr">
        <is>
          <t> </t>
        </is>
      </c>
      <c r="D36" s="5" t="inlineStr">
        <is>
          <t> </t>
        </is>
      </c>
      <c r="E36" s="5" t="inlineStr">
        <is>
          <t> </t>
        </is>
      </c>
      <c r="F36" s="5" t="inlineStr">
        <is>
          <t> </t>
        </is>
      </c>
      <c r="G36" s="5" t="inlineStr">
        <is>
          <t> </t>
        </is>
      </c>
      <c r="H36" s="5" t="inlineStr">
        <is>
          <t> </t>
        </is>
      </c>
      <c r="I36" s="5" t="inlineStr">
        <is>
          <t> </t>
        </is>
      </c>
      <c r="J36" s="5" t="inlineStr">
        <is>
          <t> </t>
        </is>
      </c>
      <c r="K36" s="6" t="inlineStr">
        <is>
          <t> </t>
        </is>
      </c>
    </row>
    <row r="37" ht="24" customHeight="1">
      <c r="A37" s="25" t="inlineStr">
        <is>
          <t>•</t>
        </is>
      </c>
      <c r="B37" s="11" t="inlineStr">
        <is>
          <t>ถ้าลูกค้าซื้อจำนวนสลิปนอกตาราง → เปิดแท็บ Per-Slip Detail คำนวณเอง</t>
        </is>
      </c>
      <c r="C37" s="5" t="inlineStr">
        <is>
          <t> </t>
        </is>
      </c>
      <c r="D37" s="5" t="inlineStr">
        <is>
          <t> </t>
        </is>
      </c>
      <c r="E37" s="5" t="inlineStr">
        <is>
          <t> </t>
        </is>
      </c>
      <c r="F37" s="5" t="inlineStr">
        <is>
          <t> </t>
        </is>
      </c>
      <c r="G37" s="5" t="inlineStr">
        <is>
          <t> </t>
        </is>
      </c>
      <c r="H37" s="5" t="inlineStr">
        <is>
          <t> </t>
        </is>
      </c>
      <c r="I37" s="5" t="inlineStr">
        <is>
          <t> </t>
        </is>
      </c>
      <c r="J37" s="5" t="inlineStr">
        <is>
          <t> </t>
        </is>
      </c>
      <c r="K37" s="6" t="inlineStr">
        <is>
          <t> </t>
        </is>
      </c>
    </row>
  </sheetData>
  <mergeCells count="38">
    <mergeCell ref="C1:K1"/>
    <mergeCell ref="E26:K26"/>
    <mergeCell ref="B23:D23"/>
    <mergeCell ref="E27:K27"/>
    <mergeCell ref="B29:D29"/>
    <mergeCell ref="E25:K25"/>
    <mergeCell ref="B36:K36"/>
    <mergeCell ref="C2:K2"/>
    <mergeCell ref="B28:D28"/>
    <mergeCell ref="E22:K22"/>
    <mergeCell ref="B19:D19"/>
    <mergeCell ref="E21:K21"/>
    <mergeCell ref="B35:K35"/>
    <mergeCell ref="B30:D30"/>
    <mergeCell ref="E24:K24"/>
    <mergeCell ref="A4:C4"/>
    <mergeCell ref="B24:D24"/>
    <mergeCell ref="B20:D20"/>
    <mergeCell ref="H4:K4"/>
    <mergeCell ref="E23:K23"/>
    <mergeCell ref="A18:K18"/>
    <mergeCell ref="B26:D26"/>
    <mergeCell ref="E29:K29"/>
    <mergeCell ref="A33:K33"/>
    <mergeCell ref="E20:K20"/>
    <mergeCell ref="A1:B2"/>
    <mergeCell ref="B25:D25"/>
    <mergeCell ref="E19:K19"/>
    <mergeCell ref="E28:K28"/>
    <mergeCell ref="E31:K31"/>
    <mergeCell ref="B31:D31"/>
    <mergeCell ref="B22:D22"/>
    <mergeCell ref="B37:K37"/>
    <mergeCell ref="E30:K30"/>
    <mergeCell ref="B27:D27"/>
    <mergeCell ref="B21:D21"/>
    <mergeCell ref="B34:K34"/>
    <mergeCell ref="D4:G4"/>
  </mergeCells>
  <pageMargins left="0.75" right="0.75" top="1" bottom="1" header="0.5" footer="0.5"/>
  <ignoredErrors>
    <ignoredError sqref="A1:ZZ1000" calculatedColumn="1" emptyCellReference="1" evalError="1" formula="1" formulaRange="1" listDataValidation="1" numberStoredAsText="1" twoDigitTextYear="1" unlockedFormula="1"/>
  </ignoredError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8" customWidth="1" min="3" max="3"/>
    <col width="22" customWidth="1" min="4" max="4"/>
    <col width="8" customWidth="1" min="5" max="5"/>
  </cols>
  <sheetData>
    <row r="1" ht="32" customHeight="1">
      <c r="A1" s="1" t="inlineStr">
        <is>
          <t>THUNDER
API</t>
        </is>
      </c>
      <c r="C1" s="2" t="inlineStr">
        <is>
          <t>PER-SLIP DETAIL</t>
        </is>
      </c>
    </row>
    <row r="2" ht="22" customHeight="1">
      <c r="C2" s="3" t="inlineStr">
        <is>
          <t>ค่าคอมมิชชัน/สลิป (ใช้ประมาณการเบื้องต้นสำหรับ tier ที่ไม่ตรงตาราง)</t>
        </is>
      </c>
    </row>
    <row r="3"/>
    <row r="4" ht="26" customHeight="1">
      <c r="A4" s="4" t="inlineStr">
        <is>
          <t>ค่าคอมมิชชัน / สลิป — ทั้งสอง Scenario</t>
        </is>
      </c>
      <c r="B4" s="5" t="inlineStr">
        <is>
          <t> </t>
        </is>
      </c>
      <c r="C4" s="5" t="inlineStr">
        <is>
          <t> </t>
        </is>
      </c>
      <c r="D4" s="5" t="inlineStr">
        <is>
          <t> </t>
        </is>
      </c>
      <c r="E4" s="6" t="inlineStr">
        <is>
          <t> </t>
        </is>
      </c>
    </row>
    <row r="5">
      <c r="A5" s="7" t="inlineStr">
        <is>
          <t>รายการ</t>
        </is>
      </c>
      <c r="B5" s="7" t="inlineStr">
        <is>
          <t>Scenario A — Cost 0.11</t>
        </is>
      </c>
      <c r="C5" s="7" t="inlineStr">
        <is>
          <t>หน่วย</t>
        </is>
      </c>
      <c r="D5" s="7" t="inlineStr">
        <is>
          <t>Scenario B — Cost 0.077</t>
        </is>
      </c>
      <c r="E5" s="7" t="inlineStr">
        <is>
          <t>หน่วย</t>
        </is>
      </c>
    </row>
    <row r="6">
      <c r="A6" s="8" t="inlineStr">
        <is>
          <t>ราคาขาย/สลิป</t>
        </is>
      </c>
      <c r="B6" s="14">
        <f>Summary!$B$6</f>
        <v/>
      </c>
      <c r="C6" s="26" t="inlineStr">
        <is>
          <t>บ.</t>
        </is>
      </c>
      <c r="D6" s="17">
        <f>Summary!$B$6</f>
        <v/>
      </c>
      <c r="E6" s="27" t="inlineStr">
        <is>
          <t>บ.</t>
        </is>
      </c>
    </row>
    <row r="7">
      <c r="A7" s="8" t="inlineStr">
        <is>
          <t>ต้นทุน/สลิป</t>
        </is>
      </c>
      <c r="B7" s="14">
        <f>Summary!$B$7</f>
        <v/>
      </c>
      <c r="C7" s="26" t="inlineStr">
        <is>
          <t>บ.</t>
        </is>
      </c>
      <c r="D7" s="17">
        <f>Summary!$B$8</f>
        <v/>
      </c>
      <c r="E7" s="27" t="inlineStr">
        <is>
          <t>บ.</t>
        </is>
      </c>
    </row>
    <row r="8">
      <c r="A8" s="8" t="inlineStr">
        <is>
          <t>GP/สลิป</t>
        </is>
      </c>
      <c r="B8" s="14">
        <f>Summary!$B$6-Summary!$B$7</f>
        <v/>
      </c>
      <c r="C8" s="26" t="inlineStr">
        <is>
          <t>บ.</t>
        </is>
      </c>
      <c r="D8" s="17">
        <f>Summary!$B$6-Summary!$B$8</f>
        <v/>
      </c>
      <c r="E8" s="27" t="inlineStr">
        <is>
          <t>บ.</t>
        </is>
      </c>
    </row>
    <row r="9">
      <c r="A9" s="8" t="inlineStr">
        <is>
          <t>GP %</t>
        </is>
      </c>
      <c r="B9" s="15">
        <f>(Summary!$B$6-Summary!$B$7)/Summary!$B$6</f>
        <v/>
      </c>
      <c r="C9" s="26" t="inlineStr">
        <is>
          <t>%</t>
        </is>
      </c>
      <c r="D9" s="18">
        <f>(Summary!$B$6-Summary!$B$8)/Summary!$B$6</f>
        <v/>
      </c>
      <c r="E9" s="27" t="inlineStr">
        <is>
          <t>%</t>
        </is>
      </c>
    </row>
    <row r="10">
      <c r="A10" s="8" t="inlineStr">
        <is>
          <t>เรทคอม (% revenue)</t>
        </is>
      </c>
      <c r="B10" s="15">
        <f>Summary!$B$9</f>
        <v/>
      </c>
      <c r="C10" s="26" t="inlineStr">
        <is>
          <t>%</t>
        </is>
      </c>
      <c r="D10" s="18">
        <f>Summary!$B$10</f>
        <v/>
      </c>
      <c r="E10" s="27" t="inlineStr">
        <is>
          <t>%</t>
        </is>
      </c>
    </row>
    <row r="11">
      <c r="A11" s="8" t="inlineStr">
        <is>
          <t>ค่าคอม/สลิป</t>
        </is>
      </c>
      <c r="B11" s="14">
        <f>Summary!$B$6*Summary!$B$9</f>
        <v/>
      </c>
      <c r="C11" s="26" t="inlineStr">
        <is>
          <t>บ.</t>
        </is>
      </c>
      <c r="D11" s="17">
        <f>Summary!$B$6*Summary!$B$10</f>
        <v/>
      </c>
      <c r="E11" s="27" t="inlineStr">
        <is>
          <t>บ.</t>
        </is>
      </c>
    </row>
    <row r="12">
      <c r="A12" s="8" t="inlineStr">
        <is>
          <t>Net GP/สลิป</t>
        </is>
      </c>
      <c r="B12" s="14">
        <f>Summary!$B$6-Summary!$B$7-Summary!$B$6*Summary!$B$9</f>
        <v/>
      </c>
      <c r="C12" s="26" t="inlineStr">
        <is>
          <t>บ.</t>
        </is>
      </c>
      <c r="D12" s="17">
        <f>Summary!$B$6-Summary!$B$8-Summary!$B$6*Summary!$B$10</f>
        <v/>
      </c>
      <c r="E12" s="27" t="inlineStr">
        <is>
          <t>บ.</t>
        </is>
      </c>
    </row>
    <row r="13">
      <c r="A13" s="8" t="inlineStr">
        <is>
          <t>Net margin %</t>
        </is>
      </c>
      <c r="B13" s="15">
        <f>(Summary!$B$6-Summary!$B$7-Summary!$B$6*Summary!$B$9)/Summary!$B$6</f>
        <v/>
      </c>
      <c r="C13" s="26" t="inlineStr">
        <is>
          <t>%</t>
        </is>
      </c>
      <c r="D13" s="18">
        <f>(Summary!$B$6-Summary!$B$8-Summary!$B$6*Summary!$B$10)/Summary!$B$6</f>
        <v/>
      </c>
      <c r="E13" s="27" t="inlineStr">
        <is>
          <t>%</t>
        </is>
      </c>
    </row>
    <row r="14"/>
    <row r="15" ht="26" customHeight="1">
      <c r="A15" s="4" t="inlineStr">
        <is>
          <t>📖 วิธีใช้แท็บนี้</t>
        </is>
      </c>
      <c r="B15" s="5" t="inlineStr">
        <is>
          <t> </t>
        </is>
      </c>
      <c r="C15" s="5" t="inlineStr">
        <is>
          <t> </t>
        </is>
      </c>
      <c r="D15" s="5" t="inlineStr">
        <is>
          <t> </t>
        </is>
      </c>
      <c r="E15" s="6" t="inlineStr">
        <is>
          <t> </t>
        </is>
      </c>
    </row>
    <row r="16" ht="38" customHeight="1">
      <c r="A16" s="8" t="inlineStr">
        <is>
          <t>เมื่อไหร่ควรใช้</t>
        </is>
      </c>
      <c r="B16" s="11" t="inlineStr">
        <is>
          <t>ลูกค้าซื้อจำนวนสลิปที่ไม่ตรงตาราง 1 เดือน / 12 เดือน (เช่น 250,000 สลิป) ใช้ค่าใน "ค่าคอม/สลิป" คูณกับจำนวนสลิปที่ขายได้</t>
        </is>
      </c>
      <c r="C16" s="5" t="inlineStr">
        <is>
          <t> </t>
        </is>
      </c>
      <c r="D16" s="5" t="inlineStr">
        <is>
          <t> </t>
        </is>
      </c>
      <c r="E16" s="6" t="inlineStr">
        <is>
          <t> </t>
        </is>
      </c>
    </row>
    <row r="17" ht="38" customHeight="1">
      <c r="A17" s="8" t="inlineStr">
        <is>
          <t>ตัวอย่าง Scenario A</t>
        </is>
      </c>
      <c r="B17" s="11" t="inlineStr">
        <is>
          <t>ลูกค้าซื้อ 250,000 สลิป → ค่าคอมมิชชัน = 250,000 × 0.00375 = 937.50 บาท · บริษัทเหลือ Net GP = 250,000 × 0.011 = 2,750 บาท</t>
        </is>
      </c>
      <c r="C17" s="5" t="inlineStr">
        <is>
          <t> </t>
        </is>
      </c>
      <c r="D17" s="5" t="inlineStr">
        <is>
          <t> </t>
        </is>
      </c>
      <c r="E17" s="6" t="inlineStr">
        <is>
          <t> </t>
        </is>
      </c>
    </row>
    <row r="18" ht="38" customHeight="1">
      <c r="A18" s="8" t="inlineStr">
        <is>
          <t>ตัวอย่าง Scenario B</t>
        </is>
      </c>
      <c r="B18" s="11" t="inlineStr">
        <is>
          <t>ลูกค้าซื้อ 250,000 สลิป → ค่าคอมมิชชัน = 250,000 × 0.01 = 2,500 บาท · บริษัทเหลือ Net GP = 250,000 × 0.038 = 9,500 บาท</t>
        </is>
      </c>
      <c r="C18" s="5" t="inlineStr">
        <is>
          <t> </t>
        </is>
      </c>
      <c r="D18" s="5" t="inlineStr">
        <is>
          <t> </t>
        </is>
      </c>
      <c r="E18" s="6" t="inlineStr">
        <is>
          <t> </t>
        </is>
      </c>
    </row>
    <row r="19" ht="38" customHeight="1">
      <c r="A19" s="8" t="inlineStr">
        <is>
          <t>เลือก Scenario อย่างไร</t>
        </is>
      </c>
      <c r="B19" s="11" t="inlineStr">
        <is>
          <t>ถ้าไม่ทราบ traffic mix → ใช้ A เพื่อความปลอดภัย · ถ้า lock mix K-src ≥ 30% ใน MOU → ใช้ B</t>
        </is>
      </c>
      <c r="C19" s="5" t="inlineStr">
        <is>
          <t> </t>
        </is>
      </c>
      <c r="D19" s="5" t="inlineStr">
        <is>
          <t> </t>
        </is>
      </c>
      <c r="E19" s="6" t="inlineStr">
        <is>
          <t> </t>
        </is>
      </c>
    </row>
  </sheetData>
  <mergeCells count="9">
    <mergeCell ref="C2:E2"/>
    <mergeCell ref="C1:E1"/>
    <mergeCell ref="B17:E17"/>
    <mergeCell ref="A4:E4"/>
    <mergeCell ref="B18:E18"/>
    <mergeCell ref="A15:E15"/>
    <mergeCell ref="B16:E16"/>
    <mergeCell ref="B19:E19"/>
    <mergeCell ref="A1:B2"/>
  </mergeCells>
  <pageMargins left="0.75" right="0.75" top="1" bottom="1" header="0.5" footer="0.5"/>
  <ignoredErrors>
    <ignoredError sqref="A1:ZZ1000" calculatedColumn="1" emptyCellReference="1" evalError="1" formula="1" formulaRange="1" listDataValidation="1" numberStoredAsText="1" twoDigitTextYear="1" unlockedFormula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2026-06-19T08:42:04Z</dcterms:created>
  <dcterms:modified xsi:type="dcterms:W3CDTF">2026-06-19T08:42:04Z</dcterms:modified>
</cp:coreProperties>
</file>